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DELL\OneDrive\Desktop\"/>
    </mc:Choice>
  </mc:AlternateContent>
  <bookViews>
    <workbookView xWindow="0" yWindow="0" windowWidth="8988" windowHeight="5712" activeTab="1"/>
  </bookViews>
  <sheets>
    <sheet name="Pivot Table" sheetId="3" r:id="rId1"/>
    <sheet name="Dashboard" sheetId="4" r:id="rId2"/>
    <sheet name="Customer Data" sheetId="1" r:id="rId3"/>
    <sheet name="Data Check" sheetId="2" r:id="rId4"/>
  </sheets>
  <definedNames>
    <definedName name="_xlnm._FilterDatabase" localSheetId="2" hidden="1">'Customer Data'!$A$1:$L$101</definedName>
    <definedName name="_xlcn.WorksheetConnection_Goodness_Fashion_House_Customer_Dataset_1001.xlsxTable11" hidden="1">GFashionHouse[]</definedName>
    <definedName name="Slicer_Acquisition_Channel">#N/A</definedName>
    <definedName name="Slicer_Location">#N/A</definedName>
  </definedNames>
  <calcPr calcId="152511"/>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s>
  <extLst>
    <ext xmlns:x14="http://schemas.microsoft.com/office/spreadsheetml/2009/9/main" uri="{876F7934-8845-4945-9796-88D515C7AA90}">
      <x14:pivotCaches>
        <pivotCache cacheId="10" r:id="rId15"/>
      </x14:pivotCaches>
    </ex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de007260-1fad-4474-b807-58019aada2dc" name="Table1" connection="WorksheetConnection_Goodness_Fashion_House_Customer_Dataset_100 (1).xlsx!Table1"/>
        </x15:modelTables>
      </x15:dataModel>
    </ext>
  </extLst>
</workbook>
</file>

<file path=xl/calcChain.xml><?xml version="1.0" encoding="utf-8"?>
<calcChain xmlns="http://schemas.openxmlformats.org/spreadsheetml/2006/main">
  <c r="B10" i="2" l="1"/>
  <c r="O2" i="1" l="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alcChain>
</file>

<file path=xl/connections.xml><?xml version="1.0" encoding="utf-8"?>
<connections xmlns="http://schemas.openxmlformats.org/spreadsheetml/2006/main">
  <connection id="1" keepAlive="1" name="ThisWorkbookDataModel" description="Data Model" type="5" refreshedVersion="5"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Goodness_Fashion_House_Customer_Dataset_100 (1).xlsx!Table1" type="102" refreshedVersion="5" minRefreshableVersion="5">
    <extLst>
      <ext xmlns:x15="http://schemas.microsoft.com/office/spreadsheetml/2010/11/main" uri="{DE250136-89BD-433C-8126-D09CA5730AF9}">
        <x15:connection id="Table1-de007260-1fad-4474-b807-58019aada2dc" autoDelete="1">
          <x15:rangePr sourceName="_xlcn.WorksheetConnection_Goodness_Fashion_House_Customer_Dataset_1001.xlsxTable11"/>
        </x15:connection>
      </ext>
    </extLst>
  </connection>
</connections>
</file>

<file path=xl/sharedStrings.xml><?xml version="1.0" encoding="utf-8"?>
<sst xmlns="http://schemas.openxmlformats.org/spreadsheetml/2006/main" count="889" uniqueCount="276">
  <si>
    <t>Customer ID</t>
  </si>
  <si>
    <t>Customer Name</t>
  </si>
  <si>
    <t>Gender</t>
  </si>
  <si>
    <t>Age</t>
  </si>
  <si>
    <t>Age Group</t>
  </si>
  <si>
    <t>Location</t>
  </si>
  <si>
    <t>Customer Segment</t>
  </si>
  <si>
    <t>Preferred Category</t>
  </si>
  <si>
    <t>Acquisition Channel</t>
  </si>
  <si>
    <t>Orders</t>
  </si>
  <si>
    <t>Total Spend (₦)</t>
  </si>
  <si>
    <t>Last Purchase Date</t>
  </si>
  <si>
    <t>GFH-C001</t>
  </si>
  <si>
    <t>Regina Eze</t>
  </si>
  <si>
    <t>Female</t>
  </si>
  <si>
    <t>Calabar</t>
  </si>
  <si>
    <t>Loyal Customer</t>
  </si>
  <si>
    <t>Two-Piece Sets</t>
  </si>
  <si>
    <t>WhatsApp</t>
  </si>
  <si>
    <t>GFH-C002</t>
  </si>
  <si>
    <t>Stella Adeyemi</t>
  </si>
  <si>
    <t>Benin City</t>
  </si>
  <si>
    <t>Skirts</t>
  </si>
  <si>
    <t>Referral</t>
  </si>
  <si>
    <t>GFH-C003</t>
  </si>
  <si>
    <t>Andrew Nnamani</t>
  </si>
  <si>
    <t>Male</t>
  </si>
  <si>
    <t>Abuja</t>
  </si>
  <si>
    <t>Instagram</t>
  </si>
  <si>
    <t>GFH-C004</t>
  </si>
  <si>
    <t>Amaka Umeh</t>
  </si>
  <si>
    <t>Dresses</t>
  </si>
  <si>
    <t>GFH-C005</t>
  </si>
  <si>
    <t>Abisola Adeyemi</t>
  </si>
  <si>
    <t>Port Harcourt</t>
  </si>
  <si>
    <t>Jumpsuits</t>
  </si>
  <si>
    <t>GFH-C006</t>
  </si>
  <si>
    <t>Irene Okafor</t>
  </si>
  <si>
    <t>Returning Customer</t>
  </si>
  <si>
    <t>Tops</t>
  </si>
  <si>
    <t>GFH-C007</t>
  </si>
  <si>
    <t>Chiamaka Okafor</t>
  </si>
  <si>
    <t>Lagos</t>
  </si>
  <si>
    <t>Trousers</t>
  </si>
  <si>
    <t>Website</t>
  </si>
  <si>
    <t>GFH-C008</t>
  </si>
  <si>
    <t>Tosin James</t>
  </si>
  <si>
    <t>GFH-C009</t>
  </si>
  <si>
    <t>Peace Nnamani</t>
  </si>
  <si>
    <t>GFH-C010</t>
  </si>
  <si>
    <t>Nike Eze</t>
  </si>
  <si>
    <t>Owerri</t>
  </si>
  <si>
    <t>New Customer</t>
  </si>
  <si>
    <t>GFH-C011</t>
  </si>
  <si>
    <t>Modupe Peter</t>
  </si>
  <si>
    <t>GFH-C012</t>
  </si>
  <si>
    <t>Favour Adeyemi</t>
  </si>
  <si>
    <t>Ibadan</t>
  </si>
  <si>
    <t>GFH-C013</t>
  </si>
  <si>
    <t>Yewande Nnamani</t>
  </si>
  <si>
    <t>GFH-C014</t>
  </si>
  <si>
    <t>Bisola Okoro</t>
  </si>
  <si>
    <t>GFH-C015</t>
  </si>
  <si>
    <t>Adeola Umeh</t>
  </si>
  <si>
    <t>GFH-C016</t>
  </si>
  <si>
    <t>Evelyn Bello</t>
  </si>
  <si>
    <t>GFH-C017</t>
  </si>
  <si>
    <t>Theresa Umeh</t>
  </si>
  <si>
    <t>GFH-C018</t>
  </si>
  <si>
    <t>John Okoro</t>
  </si>
  <si>
    <t>GFH-C019</t>
  </si>
  <si>
    <t>Bukky Obi</t>
  </si>
  <si>
    <t>GFH-C020</t>
  </si>
  <si>
    <t>Rachel Peter</t>
  </si>
  <si>
    <t>GFH-C021</t>
  </si>
  <si>
    <t>Caroline Nnamani</t>
  </si>
  <si>
    <t>GFH-C022</t>
  </si>
  <si>
    <t>Naomi Okoro</t>
  </si>
  <si>
    <t>Walk-in</t>
  </si>
  <si>
    <t>GFH-C023</t>
  </si>
  <si>
    <t>Rebecca Bello</t>
  </si>
  <si>
    <t>GFH-C024</t>
  </si>
  <si>
    <t>Peter Umeh</t>
  </si>
  <si>
    <t>GFH-C025</t>
  </si>
  <si>
    <t>David Okoro</t>
  </si>
  <si>
    <t>GFH-C026</t>
  </si>
  <si>
    <t>Rose Peter</t>
  </si>
  <si>
    <t>Enugu</t>
  </si>
  <si>
    <t>GFH-C027</t>
  </si>
  <si>
    <t>Michael James</t>
  </si>
  <si>
    <t>GFH-C028</t>
  </si>
  <si>
    <t>Janet Chukwu</t>
  </si>
  <si>
    <t>GFH-C029</t>
  </si>
  <si>
    <t>Henry Okafor</t>
  </si>
  <si>
    <t>GFH-C030</t>
  </si>
  <si>
    <t>Stephanie James</t>
  </si>
  <si>
    <t>GFH-C031</t>
  </si>
  <si>
    <t>Precious Nwosu</t>
  </si>
  <si>
    <t>GFH-C032</t>
  </si>
  <si>
    <t>Lilian Nwosu</t>
  </si>
  <si>
    <t>GFH-C033</t>
  </si>
  <si>
    <t>Temitope Nwosu</t>
  </si>
  <si>
    <t>GFH-C034</t>
  </si>
  <si>
    <t>Titi Chukwu</t>
  </si>
  <si>
    <t>GFH-C035</t>
  </si>
  <si>
    <t>Ronke Okafor</t>
  </si>
  <si>
    <t>GFH-C036</t>
  </si>
  <si>
    <t>Bridget Okoro</t>
  </si>
  <si>
    <t>GFH-C037</t>
  </si>
  <si>
    <t>Stephen Okafor</t>
  </si>
  <si>
    <t>GFH-C038</t>
  </si>
  <si>
    <t>Tolu Obi</t>
  </si>
  <si>
    <t>GFH-C039</t>
  </si>
  <si>
    <t>Joshua Nwosu</t>
  </si>
  <si>
    <t>GFH-C040</t>
  </si>
  <si>
    <t>Mercy Ibrahim</t>
  </si>
  <si>
    <t>GFH-C041</t>
  </si>
  <si>
    <t>Helen Umeh</t>
  </si>
  <si>
    <t>GFH-C042</t>
  </si>
  <si>
    <t>Ifeoma Umeh</t>
  </si>
  <si>
    <t>GFH-C043</t>
  </si>
  <si>
    <t>Juliet Chukwu</t>
  </si>
  <si>
    <t>GFH-C044</t>
  </si>
  <si>
    <t>Michelle Obi</t>
  </si>
  <si>
    <t>GFH-C045</t>
  </si>
  <si>
    <t>Ruth Eze</t>
  </si>
  <si>
    <t>GFH-C046</t>
  </si>
  <si>
    <t>Omolara Eze</t>
  </si>
  <si>
    <t>GFH-C047</t>
  </si>
  <si>
    <t>Folake Peter</t>
  </si>
  <si>
    <t>GFH-C048</t>
  </si>
  <si>
    <t>Yetunde Umeh</t>
  </si>
  <si>
    <t>GFH-C049</t>
  </si>
  <si>
    <t>Jennifer Obi</t>
  </si>
  <si>
    <t>GFH-C050</t>
  </si>
  <si>
    <t>Linda Eze</t>
  </si>
  <si>
    <t>GFH-C051</t>
  </si>
  <si>
    <t>Richard Chukwu</t>
  </si>
  <si>
    <t>GFH-C052</t>
  </si>
  <si>
    <t>Miriam James</t>
  </si>
  <si>
    <t>GFH-C053</t>
  </si>
  <si>
    <t>Blessing Eze</t>
  </si>
  <si>
    <t>GFH-C054</t>
  </si>
  <si>
    <t>Kemi Chukwu</t>
  </si>
  <si>
    <t>GFH-C055</t>
  </si>
  <si>
    <t>Faith Okafor</t>
  </si>
  <si>
    <t>GFH-C056</t>
  </si>
  <si>
    <t>Florence Okafor</t>
  </si>
  <si>
    <t>GFH-C057</t>
  </si>
  <si>
    <t>Damilola James</t>
  </si>
  <si>
    <t>GFH-C058</t>
  </si>
  <si>
    <t>Simisola Okoro</t>
  </si>
  <si>
    <t>GFH-C059</t>
  </si>
  <si>
    <t>Ada Nwosu</t>
  </si>
  <si>
    <t>GFH-C060</t>
  </si>
  <si>
    <t>Eniola Okafor</t>
  </si>
  <si>
    <t>GFH-C061</t>
  </si>
  <si>
    <t>Emmanuella Peter</t>
  </si>
  <si>
    <t>GFH-C062</t>
  </si>
  <si>
    <t>Deborah James</t>
  </si>
  <si>
    <t>GFH-C063</t>
  </si>
  <si>
    <t>Grace Peter</t>
  </si>
  <si>
    <t>GFH-C064</t>
  </si>
  <si>
    <t>Adesewa Nnamani</t>
  </si>
  <si>
    <t>GFH-C065</t>
  </si>
  <si>
    <t>Daniel Bello</t>
  </si>
  <si>
    <t>GFH-C066</t>
  </si>
  <si>
    <t>Gloria James</t>
  </si>
  <si>
    <t>GFH-C067</t>
  </si>
  <si>
    <t>Shade Nnamani</t>
  </si>
  <si>
    <t>GFH-C068</t>
  </si>
  <si>
    <t>Clara Nnamani</t>
  </si>
  <si>
    <t>GFH-C069</t>
  </si>
  <si>
    <t>Frank Eze</t>
  </si>
  <si>
    <t>GFH-C070</t>
  </si>
  <si>
    <t>Sarah Bello</t>
  </si>
  <si>
    <t>GFH-C071</t>
  </si>
  <si>
    <t>Aisha Bello</t>
  </si>
  <si>
    <t>GFH-C072</t>
  </si>
  <si>
    <t>Anthony Nwosu</t>
  </si>
  <si>
    <t>GFH-C073</t>
  </si>
  <si>
    <t>Funmi Bello</t>
  </si>
  <si>
    <t>GFH-C074</t>
  </si>
  <si>
    <t>Patrick Bello</t>
  </si>
  <si>
    <t>GFH-C075</t>
  </si>
  <si>
    <t>Bukola Adeyemi</t>
  </si>
  <si>
    <t>GFH-C076</t>
  </si>
  <si>
    <t>Kelvin Adeyemi</t>
  </si>
  <si>
    <t>GFH-C077</t>
  </si>
  <si>
    <t>Sharon Williams</t>
  </si>
  <si>
    <t>GFH-C078</t>
  </si>
  <si>
    <t>Oluwakemi Nwosu</t>
  </si>
  <si>
    <t>GFH-C079</t>
  </si>
  <si>
    <t>Samuel Obi</t>
  </si>
  <si>
    <t>GFH-C080</t>
  </si>
  <si>
    <t>Bimpe Adeyemi</t>
  </si>
  <si>
    <t>GFH-C081</t>
  </si>
  <si>
    <t>Moji Obi</t>
  </si>
  <si>
    <t>GFH-C082</t>
  </si>
  <si>
    <t>Patience Obi</t>
  </si>
  <si>
    <t>GFH-C083</t>
  </si>
  <si>
    <t>Vivian Adeyemi</t>
  </si>
  <si>
    <t>GFH-C084</t>
  </si>
  <si>
    <t>Ibrahim Chukwu</t>
  </si>
  <si>
    <t>GFH-C085</t>
  </si>
  <si>
    <t>Benjamin Peter</t>
  </si>
  <si>
    <t>GFH-C086</t>
  </si>
  <si>
    <t>Esther Williams</t>
  </si>
  <si>
    <t>GFH-C087</t>
  </si>
  <si>
    <t>Sade Eze</t>
  </si>
  <si>
    <t>GFH-C088</t>
  </si>
  <si>
    <t>Dupe Chukwu</t>
  </si>
  <si>
    <t>GFH-C089</t>
  </si>
  <si>
    <t>Victoria Okoro</t>
  </si>
  <si>
    <t>GFH-C090</t>
  </si>
  <si>
    <t>Morenike Bello</t>
  </si>
  <si>
    <t>GFH-C091</t>
  </si>
  <si>
    <t>Victor Umeh</t>
  </si>
  <si>
    <t>GFH-C092</t>
  </si>
  <si>
    <t>Sandra Eze</t>
  </si>
  <si>
    <t>GFH-C093</t>
  </si>
  <si>
    <t>Cynthia Obi</t>
  </si>
  <si>
    <t>GFH-C094</t>
  </si>
  <si>
    <t>Nancy Eze</t>
  </si>
  <si>
    <t>GFH-C095</t>
  </si>
  <si>
    <t>Angela Okoro</t>
  </si>
  <si>
    <t>GFH-C096</t>
  </si>
  <si>
    <t>Diana Nwosu</t>
  </si>
  <si>
    <t>GFH-C097</t>
  </si>
  <si>
    <t>Chris James</t>
  </si>
  <si>
    <t>GFH-C098</t>
  </si>
  <si>
    <t>Mary Johnson</t>
  </si>
  <si>
    <t>GFH-C099</t>
  </si>
  <si>
    <t>Joy Chukwu</t>
  </si>
  <si>
    <t>GFH-C100</t>
  </si>
  <si>
    <t>Emeka Eze</t>
  </si>
  <si>
    <t>Metric</t>
  </si>
  <si>
    <t>Value</t>
  </si>
  <si>
    <t>Total Customers</t>
  </si>
  <si>
    <t>Female Customers</t>
  </si>
  <si>
    <t>Male Customers</t>
  </si>
  <si>
    <t>Female %</t>
  </si>
  <si>
    <t>Male %</t>
  </si>
  <si>
    <t>Minimum Age</t>
  </si>
  <si>
    <t>Maximum Age</t>
  </si>
  <si>
    <t>Duplicate Customer IDs</t>
  </si>
  <si>
    <t>Young Adult</t>
  </si>
  <si>
    <t>Adult</t>
  </si>
  <si>
    <t>Year</t>
  </si>
  <si>
    <t>Month</t>
  </si>
  <si>
    <t>Month Number</t>
  </si>
  <si>
    <t>Sum of Total Spend (₦)</t>
  </si>
  <si>
    <t>Total Revenue (₦)</t>
  </si>
  <si>
    <t>Average Order Value (₦)</t>
  </si>
  <si>
    <t>Grand Total</t>
  </si>
  <si>
    <t>Total Orders</t>
  </si>
  <si>
    <t>Row Labels</t>
  </si>
  <si>
    <t>Top 10 Highest Spending Customers</t>
  </si>
  <si>
    <t>Revenue By Gender</t>
  </si>
  <si>
    <t>April</t>
  </si>
  <si>
    <t>August</t>
  </si>
  <si>
    <t>December</t>
  </si>
  <si>
    <t>February</t>
  </si>
  <si>
    <t>January</t>
  </si>
  <si>
    <t>July</t>
  </si>
  <si>
    <t>June</t>
  </si>
  <si>
    <t>March</t>
  </si>
  <si>
    <t>May</t>
  </si>
  <si>
    <t>November</t>
  </si>
  <si>
    <t>October</t>
  </si>
  <si>
    <t>September</t>
  </si>
  <si>
    <t>Monthly Revenue (₦)</t>
  </si>
  <si>
    <t>Acquisition channel performance</t>
  </si>
  <si>
    <t>Revenue By Location</t>
  </si>
  <si>
    <t xml:space="preserve">Avg Order </t>
  </si>
  <si>
    <t>Column Labels</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</si>
</sst>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3" formatCode="_(* #,##0.00_);_(* \(#,##0.00\);_(* &quot;-&quot;??_);_(@_)"/>
    <numFmt numFmtId="164" formatCode="yyyy\-mm\-dd"/>
    <numFmt numFmtId="165" formatCode="_(* #,##0_);_(* \(#,##0\);_(* &quot;-&quot;??_);_(@_)"/>
  </numFmts>
  <fonts count="4" x14ac:knownFonts="1">
    <font>
      <sz val="11"/>
      <color theme="1"/>
      <name val="Calibri"/>
      <family val="2"/>
      <scheme val="minor"/>
    </font>
    <font>
      <b/>
      <sz val="11"/>
      <name val="Calibri"/>
    </font>
    <font>
      <sz val="11"/>
      <color theme="1"/>
      <name val="Calibri"/>
      <family val="2"/>
      <scheme val="minor"/>
    </font>
    <font>
      <sz val="11"/>
      <color theme="0"/>
      <name val="Calibri"/>
      <family val="2"/>
      <scheme val="minor"/>
    </font>
  </fonts>
  <fills count="3">
    <fill>
      <patternFill patternType="none"/>
    </fill>
    <fill>
      <patternFill patternType="gray125"/>
    </fill>
    <fill>
      <patternFill patternType="solid">
        <fgColor theme="3"/>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2">
    <xf numFmtId="0" fontId="0" fillId="0" borderId="0"/>
    <xf numFmtId="43" fontId="2" fillId="0" borderId="0" applyFont="0" applyFill="0" applyBorder="0" applyAlignment="0" applyProtection="0"/>
  </cellStyleXfs>
  <cellXfs count="18">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Border="1" applyAlignment="1">
      <alignment horizontal="center" vertical="top"/>
    </xf>
    <xf numFmtId="0" fontId="0" fillId="0" borderId="3" xfId="0" applyBorder="1"/>
    <xf numFmtId="0" fontId="0" fillId="0" borderId="4" xfId="0" applyBorder="1"/>
    <xf numFmtId="0" fontId="0" fillId="0" borderId="5" xfId="0" applyBorder="1"/>
    <xf numFmtId="165" fontId="0" fillId="0" borderId="0" xfId="0" applyNumberFormat="1"/>
    <xf numFmtId="0" fontId="0" fillId="0" borderId="0" xfId="0" pivotButton="1"/>
    <xf numFmtId="165" fontId="0" fillId="0" borderId="6" xfId="0" applyNumberFormat="1" applyBorder="1"/>
    <xf numFmtId="165" fontId="0" fillId="0" borderId="7" xfId="0" applyNumberFormat="1" applyBorder="1"/>
    <xf numFmtId="165" fontId="0" fillId="0" borderId="8" xfId="0" applyNumberFormat="1" applyBorder="1"/>
    <xf numFmtId="165" fontId="0" fillId="0" borderId="9" xfId="0" applyNumberFormat="1" applyBorder="1"/>
    <xf numFmtId="165" fontId="0" fillId="0" borderId="10" xfId="0" applyNumberFormat="1" applyBorder="1"/>
    <xf numFmtId="165" fontId="0" fillId="0" borderId="11" xfId="0" applyNumberFormat="1" applyBorder="1"/>
    <xf numFmtId="0" fontId="0" fillId="0" borderId="0" xfId="0" applyAlignment="1">
      <alignment horizontal="left"/>
    </xf>
    <xf numFmtId="165" fontId="0" fillId="0" borderId="0" xfId="1" applyNumberFormat="1" applyFont="1"/>
    <xf numFmtId="0" fontId="3" fillId="2" borderId="0" xfId="0" applyFont="1" applyFill="1"/>
  </cellXfs>
  <cellStyles count="2">
    <cellStyle name="Comma" xfId="1" builtinId="3"/>
    <cellStyle name="Normal" xfId="0" builtinId="0"/>
  </cellStyles>
  <dxfs count="19">
    <dxf>
      <numFmt numFmtId="0" formatCode="General"/>
    </dxf>
    <dxf>
      <numFmt numFmtId="0" formatCode="General"/>
    </dxf>
    <dxf>
      <numFmt numFmtId="0" formatCode="General"/>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font>
        <b/>
        <i val="0"/>
        <sz val="12"/>
        <name val="Cambria"/>
        <scheme val="major"/>
      </font>
      <fill>
        <patternFill>
          <fgColor theme="4" tint="-0.24994659260841701"/>
          <bgColor theme="4" tint="-0.24994659260841701"/>
        </patternFill>
      </fill>
      <border diagonalUp="0" diagonalDown="0">
        <left style="thin">
          <color auto="1"/>
        </left>
        <right style="thin">
          <color auto="1"/>
        </right>
        <top style="thin">
          <color auto="1"/>
        </top>
        <bottom style="thin">
          <color auto="1"/>
        </bottom>
        <vertical/>
        <horizontal/>
      </border>
    </dxf>
    <dxf>
      <font>
        <b/>
        <i val="0"/>
        <sz val="10"/>
        <color auto="1"/>
        <name val="Cambria"/>
        <scheme val="major"/>
      </font>
      <fill>
        <patternFill patternType="solid">
          <fgColor theme="3"/>
          <bgColor theme="3" tint="-0.24994659260841701"/>
        </patternFill>
      </fill>
      <border diagonalUp="0" diagonalDown="0">
        <left style="thin">
          <color auto="1"/>
        </left>
        <right style="thin">
          <color auto="1"/>
        </right>
        <top style="thin">
          <color auto="1"/>
        </top>
        <bottom style="thin">
          <color auto="1"/>
        </bottom>
        <vertical/>
        <horizontal/>
      </border>
    </dxf>
  </dxfs>
  <tableStyles count="2" defaultTableStyle="TableStyleMedium9" defaultPivotStyle="PivotStyleLight16">
    <tableStyle name="Slicer Style 1" pivot="0" table="0" count="1">
      <tableStyleElement type="wholeTable" dxfId="18"/>
    </tableStyle>
    <tableStyle name="Slicer Style 2" pivot="0" table="0" count="1">
      <tableStyleElement type="wholeTable" dxfId="17"/>
    </tableStyle>
  </tableStyle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calcChain" Target="calcChain.xml"/><Relationship Id="rId10" Type="http://schemas.openxmlformats.org/officeDocument/2006/relationships/pivotCacheDefinition" Target="pivotCache/pivotCacheDefinition6.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[Gs_Couture.xlsx]Pivot Table!PivotTable9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effectLst/>
              </a:rPr>
              <a:t>Revenue By Location (₦)</a:t>
            </a:r>
            <a:r>
              <a:rPr lang="en-GB" sz="1400" b="0" i="0" u="none" strike="noStrike"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'Pivot Table'!$B$161</c:f>
              <c:strCache>
                <c:ptCount val="1"/>
                <c:pt idx="0">
                  <c:v>Total</c:v>
                </c:pt>
              </c:strCache>
            </c:strRef>
          </c:tx>
          <c:spPr>
            <a:solidFill>
              <a:schemeClr val="accent1"/>
            </a:solidFill>
            <a:ln>
              <a:noFill/>
            </a:ln>
            <a:effectLst/>
          </c:spPr>
          <c:invertIfNegative val="0"/>
          <c:cat>
            <c:strRef>
              <c:f>'Pivot Table'!$A$162:$A$170</c:f>
              <c:strCache>
                <c:ptCount val="8"/>
                <c:pt idx="0">
                  <c:v>Abuja</c:v>
                </c:pt>
                <c:pt idx="1">
                  <c:v>Calabar</c:v>
                </c:pt>
                <c:pt idx="2">
                  <c:v>Ibadan</c:v>
                </c:pt>
                <c:pt idx="3">
                  <c:v>Owerri</c:v>
                </c:pt>
                <c:pt idx="4">
                  <c:v>Enugu</c:v>
                </c:pt>
                <c:pt idx="5">
                  <c:v>Lagos</c:v>
                </c:pt>
                <c:pt idx="6">
                  <c:v>Port Harcourt</c:v>
                </c:pt>
                <c:pt idx="7">
                  <c:v>Benin City</c:v>
                </c:pt>
              </c:strCache>
            </c:strRef>
          </c:cat>
          <c:val>
            <c:numRef>
              <c:f>'Pivot Table'!$B$162:$B$170</c:f>
              <c:numCache>
                <c:formatCode>_(* #,##0_);_(* \(#,##0\);_(* "-"??_);_(@_)</c:formatCode>
                <c:ptCount val="8"/>
                <c:pt idx="0">
                  <c:v>1310261</c:v>
                </c:pt>
                <c:pt idx="1">
                  <c:v>1637318</c:v>
                </c:pt>
                <c:pt idx="2">
                  <c:v>2088415</c:v>
                </c:pt>
                <c:pt idx="3">
                  <c:v>2158057</c:v>
                </c:pt>
                <c:pt idx="4">
                  <c:v>2165583</c:v>
                </c:pt>
                <c:pt idx="5">
                  <c:v>2186675</c:v>
                </c:pt>
                <c:pt idx="6">
                  <c:v>3104294</c:v>
                </c:pt>
                <c:pt idx="7">
                  <c:v>3865254</c:v>
                </c:pt>
              </c:numCache>
            </c:numRef>
          </c:val>
        </c:ser>
        <c:dLbls>
          <c:showLegendKey val="0"/>
          <c:showVal val="0"/>
          <c:showCatName val="0"/>
          <c:showSerName val="0"/>
          <c:showPercent val="0"/>
          <c:showBubbleSize val="0"/>
        </c:dLbls>
        <c:gapWidth val="182"/>
        <c:axId val="305778168"/>
        <c:axId val="305778952"/>
      </c:barChart>
      <c:catAx>
        <c:axId val="3057781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778952"/>
        <c:crosses val="autoZero"/>
        <c:auto val="1"/>
        <c:lblAlgn val="ctr"/>
        <c:lblOffset val="100"/>
        <c:noMultiLvlLbl val="0"/>
      </c:catAx>
      <c:valAx>
        <c:axId val="305778952"/>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778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[Gs_Couture.xlsx]Pivot Table!PivotTable8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effectLst/>
              </a:rPr>
              <a:t>Acquisition channel performance</a:t>
            </a:r>
            <a:r>
              <a:rPr lang="en-GB" sz="1400" b="0" i="0" u="none" strike="noStrike"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 Table'!$B$131</c:f>
              <c:strCache>
                <c:ptCount val="1"/>
                <c:pt idx="0">
                  <c:v>Total</c:v>
                </c:pt>
              </c:strCache>
            </c:strRef>
          </c:tx>
          <c:spPr>
            <a:solidFill>
              <a:schemeClr val="accent1"/>
            </a:solidFill>
            <a:ln>
              <a:noFill/>
            </a:ln>
            <a:effectLst/>
          </c:spPr>
          <c:invertIfNegative val="0"/>
          <c:cat>
            <c:strRef>
              <c:f>'Pivot Table'!$A$132:$A$137</c:f>
              <c:strCache>
                <c:ptCount val="5"/>
                <c:pt idx="0">
                  <c:v>WhatsApp</c:v>
                </c:pt>
                <c:pt idx="1">
                  <c:v>Website</c:v>
                </c:pt>
                <c:pt idx="2">
                  <c:v>Instagram</c:v>
                </c:pt>
                <c:pt idx="3">
                  <c:v>Referral</c:v>
                </c:pt>
                <c:pt idx="4">
                  <c:v>Walk-in</c:v>
                </c:pt>
              </c:strCache>
            </c:strRef>
          </c:cat>
          <c:val>
            <c:numRef>
              <c:f>'Pivot Table'!$B$132:$B$137</c:f>
              <c:numCache>
                <c:formatCode>_(* #,##0_);_(* \(#,##0\);_(* "-"??_);_(@_)</c:formatCode>
                <c:ptCount val="5"/>
                <c:pt idx="0">
                  <c:v>4176819</c:v>
                </c:pt>
                <c:pt idx="1">
                  <c:v>4016819</c:v>
                </c:pt>
                <c:pt idx="2">
                  <c:v>3868177</c:v>
                </c:pt>
                <c:pt idx="3">
                  <c:v>3719619</c:v>
                </c:pt>
                <c:pt idx="4">
                  <c:v>2734423</c:v>
                </c:pt>
              </c:numCache>
            </c:numRef>
          </c:val>
        </c:ser>
        <c:dLbls>
          <c:showLegendKey val="0"/>
          <c:showVal val="0"/>
          <c:showCatName val="0"/>
          <c:showSerName val="0"/>
          <c:showPercent val="0"/>
          <c:showBubbleSize val="0"/>
        </c:dLbls>
        <c:gapWidth val="219"/>
        <c:overlap val="-27"/>
        <c:axId val="261015616"/>
        <c:axId val="261017968"/>
      </c:barChart>
      <c:catAx>
        <c:axId val="261015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017968"/>
        <c:crosses val="autoZero"/>
        <c:auto val="1"/>
        <c:lblAlgn val="ctr"/>
        <c:lblOffset val="100"/>
        <c:noMultiLvlLbl val="0"/>
      </c:catAx>
      <c:valAx>
        <c:axId val="261017968"/>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015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[Gs_Couture.xlsx]Pivot Table!PivotTable7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Revenue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s>
    <c:plotArea>
      <c:layout/>
      <c:lineChart>
        <c:grouping val="standard"/>
        <c:varyColors val="0"/>
        <c:ser>
          <c:idx val="0"/>
          <c:order val="0"/>
          <c:tx>
            <c:strRef>
              <c:f>'Pivot Table'!$B$91:$B$92</c:f>
              <c:strCache>
                <c:ptCount val="1"/>
                <c:pt idx="0">
                  <c:v>2025</c:v>
                </c:pt>
              </c:strCache>
            </c:strRef>
          </c:tx>
          <c:spPr>
            <a:ln w="28575" cap="rnd">
              <a:solidFill>
                <a:schemeClr val="accent1"/>
              </a:solidFill>
              <a:round/>
            </a:ln>
            <a:effectLst/>
          </c:spPr>
          <c:marker>
            <c:symbol val="none"/>
          </c:marker>
          <c:cat>
            <c:strRef>
              <c:f>'Pivot Table'!$A$93:$A$105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Table'!$B$93:$B$105</c:f>
              <c:numCache>
                <c:formatCode>_(* #,##0_);_(* \(#,##0\);_(* "-"??_);_(@_)</c:formatCode>
                <c:ptCount val="12"/>
                <c:pt idx="0">
                  <c:v>1147391</c:v>
                </c:pt>
                <c:pt idx="1">
                  <c:v>1214851</c:v>
                </c:pt>
                <c:pt idx="2">
                  <c:v>717541</c:v>
                </c:pt>
                <c:pt idx="3">
                  <c:v>1623378</c:v>
                </c:pt>
                <c:pt idx="4">
                  <c:v>956274</c:v>
                </c:pt>
                <c:pt idx="5">
                  <c:v>1124661</c:v>
                </c:pt>
                <c:pt idx="6">
                  <c:v>1362768</c:v>
                </c:pt>
                <c:pt idx="7">
                  <c:v>805362</c:v>
                </c:pt>
                <c:pt idx="8">
                  <c:v>1857503</c:v>
                </c:pt>
                <c:pt idx="9">
                  <c:v>922305</c:v>
                </c:pt>
                <c:pt idx="10">
                  <c:v>295079</c:v>
                </c:pt>
                <c:pt idx="11">
                  <c:v>588076</c:v>
                </c:pt>
              </c:numCache>
            </c:numRef>
          </c:val>
          <c:smooth val="0"/>
        </c:ser>
        <c:ser>
          <c:idx val="1"/>
          <c:order val="1"/>
          <c:tx>
            <c:strRef>
              <c:f>'Pivot Table'!$C$91:$C$92</c:f>
              <c:strCache>
                <c:ptCount val="1"/>
                <c:pt idx="0">
                  <c:v>2026</c:v>
                </c:pt>
              </c:strCache>
            </c:strRef>
          </c:tx>
          <c:spPr>
            <a:ln w="28575" cap="rnd">
              <a:solidFill>
                <a:schemeClr val="accent2"/>
              </a:solidFill>
              <a:round/>
            </a:ln>
            <a:effectLst/>
          </c:spPr>
          <c:marker>
            <c:symbol val="none"/>
          </c:marker>
          <c:cat>
            <c:strRef>
              <c:f>'Pivot Table'!$A$93:$A$105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Table'!$C$93:$C$105</c:f>
              <c:numCache>
                <c:formatCode>_(* #,##0_);_(* \(#,##0\);_(* "-"??_);_(@_)</c:formatCode>
                <c:ptCount val="12"/>
                <c:pt idx="0">
                  <c:v>235748</c:v>
                </c:pt>
                <c:pt idx="1">
                  <c:v>734725</c:v>
                </c:pt>
                <c:pt idx="2">
                  <c:v>1227120</c:v>
                </c:pt>
                <c:pt idx="3">
                  <c:v>915658</c:v>
                </c:pt>
                <c:pt idx="4">
                  <c:v>654753</c:v>
                </c:pt>
                <c:pt idx="5">
                  <c:v>557681</c:v>
                </c:pt>
                <c:pt idx="6">
                  <c:v>337920</c:v>
                </c:pt>
                <c:pt idx="7">
                  <c:v>848725</c:v>
                </c:pt>
                <c:pt idx="8">
                  <c:v>388338</c:v>
                </c:pt>
              </c:numCache>
            </c:numRef>
          </c:val>
          <c:smooth val="0"/>
        </c:ser>
        <c:dLbls>
          <c:showLegendKey val="0"/>
          <c:showVal val="0"/>
          <c:showCatName val="0"/>
          <c:showSerName val="0"/>
          <c:showPercent val="0"/>
          <c:showBubbleSize val="0"/>
        </c:dLbls>
        <c:smooth val="0"/>
        <c:axId val="261014832"/>
        <c:axId val="261016008"/>
      </c:lineChart>
      <c:catAx>
        <c:axId val="261014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016008"/>
        <c:crosses val="autoZero"/>
        <c:auto val="1"/>
        <c:lblAlgn val="ctr"/>
        <c:lblOffset val="100"/>
        <c:noMultiLvlLbl val="0"/>
      </c:catAx>
      <c:valAx>
        <c:axId val="261016008"/>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014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[Gs_Couture.xlsx]Pivot 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effectLst/>
              </a:rPr>
              <a:t>Revenue By Gender</a:t>
            </a:r>
            <a:r>
              <a:rPr lang="en-GB" sz="1400" b="0" i="0" u="none" strike="noStrike"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 Table'!$B$61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 Table'!$A$62:$A$64</c:f>
              <c:strCache>
                <c:ptCount val="2"/>
                <c:pt idx="0">
                  <c:v>Female</c:v>
                </c:pt>
                <c:pt idx="1">
                  <c:v>Male</c:v>
                </c:pt>
              </c:strCache>
            </c:strRef>
          </c:cat>
          <c:val>
            <c:numRef>
              <c:f>'Pivot Table'!$B$62:$B$64</c:f>
              <c:numCache>
                <c:formatCode>_(* #,##0_);_(* \(#,##0\);_(* "-"??_);_(@_)</c:formatCode>
                <c:ptCount val="2"/>
                <c:pt idx="0">
                  <c:v>15408409</c:v>
                </c:pt>
                <c:pt idx="1">
                  <c:v>3107448</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[Gs_Couture.xlsx]Pivot Table!PivotTable5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'Pivot Table'!$B$30</c:f>
              <c:strCache>
                <c:ptCount val="1"/>
                <c:pt idx="0">
                  <c:v>Total</c:v>
                </c:pt>
              </c:strCache>
            </c:strRef>
          </c:tx>
          <c:spPr>
            <a:solidFill>
              <a:schemeClr val="accent1"/>
            </a:solidFill>
            <a:ln>
              <a:noFill/>
            </a:ln>
            <a:effectLst/>
          </c:spPr>
          <c:invertIfNegative val="0"/>
          <c:cat>
            <c:strRef>
              <c:f>'Pivot Table'!$A$31:$A$41</c:f>
              <c:strCache>
                <c:ptCount val="10"/>
                <c:pt idx="0">
                  <c:v>Emmanuella Peter</c:v>
                </c:pt>
                <c:pt idx="1">
                  <c:v>Victoria Okoro</c:v>
                </c:pt>
                <c:pt idx="2">
                  <c:v>Miriam James</c:v>
                </c:pt>
                <c:pt idx="3">
                  <c:v>Patience Obi</c:v>
                </c:pt>
                <c:pt idx="4">
                  <c:v>Adesewa Nnamani</c:v>
                </c:pt>
                <c:pt idx="5">
                  <c:v>Abisola Adeyemi</c:v>
                </c:pt>
                <c:pt idx="6">
                  <c:v>Modupe Peter</c:v>
                </c:pt>
                <c:pt idx="7">
                  <c:v>Rachel Peter</c:v>
                </c:pt>
                <c:pt idx="8">
                  <c:v>Ronke Okafor</c:v>
                </c:pt>
                <c:pt idx="9">
                  <c:v>Henry Okafor</c:v>
                </c:pt>
              </c:strCache>
            </c:strRef>
          </c:cat>
          <c:val>
            <c:numRef>
              <c:f>'Pivot Table'!$B$31:$B$41</c:f>
              <c:numCache>
                <c:formatCode>_(* #,##0_);_(* \(#,##0\);_(* "-"??_);_(@_)</c:formatCode>
                <c:ptCount val="10"/>
                <c:pt idx="0">
                  <c:v>344813</c:v>
                </c:pt>
                <c:pt idx="1">
                  <c:v>351589</c:v>
                </c:pt>
                <c:pt idx="2">
                  <c:v>361280</c:v>
                </c:pt>
                <c:pt idx="3">
                  <c:v>378490</c:v>
                </c:pt>
                <c:pt idx="4">
                  <c:v>384909</c:v>
                </c:pt>
                <c:pt idx="5">
                  <c:v>421408</c:v>
                </c:pt>
                <c:pt idx="6">
                  <c:v>432248</c:v>
                </c:pt>
                <c:pt idx="7">
                  <c:v>432528</c:v>
                </c:pt>
                <c:pt idx="8">
                  <c:v>433232</c:v>
                </c:pt>
                <c:pt idx="9">
                  <c:v>439168</c:v>
                </c:pt>
              </c:numCache>
            </c:numRef>
          </c:val>
        </c:ser>
        <c:dLbls>
          <c:showLegendKey val="0"/>
          <c:showVal val="0"/>
          <c:showCatName val="0"/>
          <c:showSerName val="0"/>
          <c:showPercent val="0"/>
          <c:showBubbleSize val="0"/>
        </c:dLbls>
        <c:gapWidth val="182"/>
        <c:axId val="261017576"/>
        <c:axId val="261016792"/>
      </c:barChart>
      <c:catAx>
        <c:axId val="261017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016792"/>
        <c:crosses val="autoZero"/>
        <c:auto val="1"/>
        <c:lblAlgn val="ctr"/>
        <c:lblOffset val="100"/>
        <c:noMultiLvlLbl val="0"/>
      </c:catAx>
      <c:valAx>
        <c:axId val="261016792"/>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017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[Gs_Couture.xlsx]Pivot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000" b="1" i="0" u="none" strike="noStrike" baseline="0">
                <a:solidFill>
                  <a:sysClr val="windowText" lastClr="000000"/>
                </a:solidFill>
                <a:effectLst/>
                <a:latin typeface="+mj-lt"/>
              </a:rPr>
              <a:t>Top 10 Highest Spending Customers</a:t>
            </a:r>
            <a:r>
              <a:rPr lang="en-GB" sz="1000" b="1" i="0" u="none" strike="noStrike" baseline="0">
                <a:solidFill>
                  <a:sysClr val="windowText" lastClr="000000"/>
                </a:solidFill>
                <a:latin typeface="+mj-lt"/>
              </a:rPr>
              <a:t> </a:t>
            </a:r>
            <a:endParaRPr lang="en-US" sz="1000" b="1">
              <a:solidFill>
                <a:sysClr val="windowText" lastClr="000000"/>
              </a:solidFill>
              <a:latin typeface="+mj-lt"/>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0">
              <a:spAutoFit/>
            </a:bodyPr>
            <a:lstStyle/>
            <a:p>
              <a:pPr algn="ctr" rtl="0">
                <a:defRPr lang="en-GB" sz="1000" b="1" i="0" u="none" strike="noStrike" kern="1200" spc="0" baseline="0">
                  <a:solidFill>
                    <a:sysClr val="windowText" lastClr="000000"/>
                  </a:solidFill>
                  <a:effectLst/>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 Table'!$B$30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rtl="0">
                  <a:defRPr lang="en-GB" sz="1000" b="1" i="0" u="none" strike="noStrike" kern="1200" spc="0" baseline="0">
                    <a:solidFill>
                      <a:sysClr val="windowText" lastClr="000000"/>
                    </a:solidFill>
                    <a:effectLst/>
                    <a:latin typeface="+mj-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Table'!$A$31:$A$41</c:f>
              <c:strCache>
                <c:ptCount val="10"/>
                <c:pt idx="0">
                  <c:v>Emmanuella Peter</c:v>
                </c:pt>
                <c:pt idx="1">
                  <c:v>Victoria Okoro</c:v>
                </c:pt>
                <c:pt idx="2">
                  <c:v>Miriam James</c:v>
                </c:pt>
                <c:pt idx="3">
                  <c:v>Patience Obi</c:v>
                </c:pt>
                <c:pt idx="4">
                  <c:v>Adesewa Nnamani</c:v>
                </c:pt>
                <c:pt idx="5">
                  <c:v>Abisola Adeyemi</c:v>
                </c:pt>
                <c:pt idx="6">
                  <c:v>Modupe Peter</c:v>
                </c:pt>
                <c:pt idx="7">
                  <c:v>Rachel Peter</c:v>
                </c:pt>
                <c:pt idx="8">
                  <c:v>Ronke Okafor</c:v>
                </c:pt>
                <c:pt idx="9">
                  <c:v>Henry Okafor</c:v>
                </c:pt>
              </c:strCache>
            </c:strRef>
          </c:cat>
          <c:val>
            <c:numRef>
              <c:f>'Pivot Table'!$B$31:$B$41</c:f>
              <c:numCache>
                <c:formatCode>_(* #,##0_);_(* \(#,##0\);_(* "-"??_);_(@_)</c:formatCode>
                <c:ptCount val="10"/>
                <c:pt idx="0">
                  <c:v>344813</c:v>
                </c:pt>
                <c:pt idx="1">
                  <c:v>351589</c:v>
                </c:pt>
                <c:pt idx="2">
                  <c:v>361280</c:v>
                </c:pt>
                <c:pt idx="3">
                  <c:v>378490</c:v>
                </c:pt>
                <c:pt idx="4">
                  <c:v>384909</c:v>
                </c:pt>
                <c:pt idx="5">
                  <c:v>421408</c:v>
                </c:pt>
                <c:pt idx="6">
                  <c:v>432248</c:v>
                </c:pt>
                <c:pt idx="7">
                  <c:v>432528</c:v>
                </c:pt>
                <c:pt idx="8">
                  <c:v>433232</c:v>
                </c:pt>
                <c:pt idx="9">
                  <c:v>439168</c:v>
                </c:pt>
              </c:numCache>
            </c:numRef>
          </c:val>
        </c:ser>
        <c:dLbls>
          <c:dLblPos val="outEnd"/>
          <c:showLegendKey val="0"/>
          <c:showVal val="1"/>
          <c:showCatName val="0"/>
          <c:showSerName val="0"/>
          <c:showPercent val="0"/>
          <c:showBubbleSize val="0"/>
        </c:dLbls>
        <c:gapWidth val="182"/>
        <c:axId val="155489968"/>
        <c:axId val="155490360"/>
      </c:barChart>
      <c:catAx>
        <c:axId val="155489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GB" sz="1000" b="1" i="0" u="none" strike="noStrike" kern="1200" spc="0" baseline="0">
                <a:solidFill>
                  <a:sysClr val="windowText" lastClr="000000"/>
                </a:solidFill>
                <a:effectLst/>
                <a:latin typeface="+mj-lt"/>
                <a:ea typeface="+mn-ea"/>
                <a:cs typeface="+mn-cs"/>
              </a:defRPr>
            </a:pPr>
            <a:endParaRPr lang="en-US"/>
          </a:p>
        </c:txPr>
        <c:crossAx val="155490360"/>
        <c:crosses val="autoZero"/>
        <c:auto val="1"/>
        <c:lblAlgn val="ctr"/>
        <c:lblOffset val="100"/>
        <c:noMultiLvlLbl val="0"/>
      </c:catAx>
      <c:valAx>
        <c:axId val="155490360"/>
        <c:scaling>
          <c:orientation val="minMax"/>
        </c:scaling>
        <c:delete val="1"/>
        <c:axPos val="b"/>
        <c:numFmt formatCode="_(* #,##0_);_(* \(#,##0\);_(* &quot;-&quot;??_);_(@_)" sourceLinked="1"/>
        <c:majorTickMark val="none"/>
        <c:minorTickMark val="none"/>
        <c:tickLblPos val="nextTo"/>
        <c:crossAx val="15548996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[Gs_Couture.xlsx]Pivot Table!PivotTable6</c:name>
    <c:fmtId val="3"/>
  </c:pivotSource>
  <c:chart>
    <c:title>
      <c:tx>
        <c:rich>
          <a:bodyPr rot="0" spcFirstLastPara="1" vertOverflow="ellipsis" vert="horz" wrap="square" anchor="ctr" anchorCtr="1"/>
          <a:lstStyle/>
          <a:p>
            <a:pPr algn="ctr" rtl="0">
              <a:defRPr lang="en-GB" sz="1000" b="1" i="0" u="none" strike="noStrike" kern="1200" spc="0" baseline="0">
                <a:solidFill>
                  <a:sysClr val="windowText" lastClr="000000"/>
                </a:solidFill>
                <a:effectLst/>
                <a:latin typeface="+mj-lt"/>
                <a:ea typeface="+mn-ea"/>
                <a:cs typeface="+mn-cs"/>
              </a:defRPr>
            </a:pPr>
            <a:r>
              <a:rPr lang="en-GB" sz="1000" b="1" i="0" u="none" strike="noStrike" kern="1200" spc="0" baseline="0">
                <a:solidFill>
                  <a:sysClr val="windowText" lastClr="000000"/>
                </a:solidFill>
                <a:effectLst/>
                <a:latin typeface="+mj-lt"/>
                <a:ea typeface="+mn-ea"/>
                <a:cs typeface="+mn-cs"/>
              </a:rPr>
              <a:t>Revenue By Gender (</a:t>
            </a:r>
            <a:r>
              <a:rPr lang="en-US" sz="1000" b="1" i="0" u="none" strike="noStrike" baseline="0">
                <a:effectLst/>
              </a:rPr>
              <a:t>₦)</a:t>
            </a:r>
            <a:r>
              <a:rPr lang="en-GB" sz="1000" b="1" i="0" u="none" strike="noStrike" kern="1200" spc="0" baseline="0">
                <a:solidFill>
                  <a:sysClr val="windowText" lastClr="000000"/>
                </a:solidFill>
                <a:effectLst/>
                <a:latin typeface="+mj-lt"/>
                <a:ea typeface="+mn-ea"/>
                <a:cs typeface="+mn-cs"/>
              </a:rPr>
              <a:t> </a:t>
            </a:r>
          </a:p>
        </c:rich>
      </c:tx>
      <c:layout/>
      <c:overlay val="0"/>
      <c:spPr>
        <a:noFill/>
        <a:ln>
          <a:noFill/>
        </a:ln>
        <a:effectLst/>
      </c:spPr>
      <c:txPr>
        <a:bodyPr rot="0" spcFirstLastPara="1" vertOverflow="ellipsis" vert="horz" wrap="square" anchor="ctr" anchorCtr="1"/>
        <a:lstStyle/>
        <a:p>
          <a:pPr algn="ctr" rtl="0">
            <a:defRPr lang="en-GB" sz="1000" b="1" i="0" u="none" strike="noStrike" kern="1200" spc="0" baseline="0">
              <a:solidFill>
                <a:sysClr val="windowText" lastClr="000000"/>
              </a:solidFill>
              <a:effectLst/>
              <a:latin typeface="+mj-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GB" sz="1000" b="1" i="0" u="none" strike="noStrike" kern="1200" spc="0" baseline="0">
                  <a:solidFill>
                    <a:sysClr val="windowText" lastClr="000000"/>
                  </a:solidFill>
                  <a:effectLst/>
                  <a:latin typeface="+mj-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29673571033591128"/>
              <c:y val="-0.23127765515823587"/>
            </c:manualLayout>
          </c:layout>
          <c:spPr>
            <a:noFill/>
            <a:ln>
              <a:noFill/>
            </a:ln>
            <a:effectLst/>
          </c:spPr>
          <c:txPr>
            <a:bodyPr rot="0" spcFirstLastPara="1" vertOverflow="ellipsis" vert="horz" wrap="square" lIns="38100" tIns="19050" rIns="38100" bIns="19050" anchor="ctr" anchorCtr="0">
              <a:spAutoFit/>
            </a:bodyPr>
            <a:lstStyle/>
            <a:p>
              <a:pPr algn="ctr" rtl="0">
                <a:defRPr lang="en-GB" sz="1000" b="1" i="0" u="none" strike="noStrike" kern="1200" spc="0" baseline="0">
                  <a:solidFill>
                    <a:sysClr val="windowText" lastClr="000000"/>
                  </a:solidFill>
                  <a:effectLst/>
                  <a:latin typeface="+mj-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38212302468126197"/>
                  <c:h val="0.23496240601503762"/>
                </c:manualLayout>
              </c15:layout>
            </c:ext>
          </c:extLst>
        </c:dLbl>
      </c:pivotFmt>
      <c:pivotFmt>
        <c:idx val="6"/>
        <c:spPr>
          <a:solidFill>
            <a:schemeClr val="accent1"/>
          </a:solidFill>
          <a:ln w="19050">
            <a:solidFill>
              <a:schemeClr val="lt1"/>
            </a:solidFill>
          </a:ln>
          <a:effectLst/>
        </c:spPr>
        <c:dLbl>
          <c:idx val="0"/>
          <c:layout/>
          <c:spPr>
            <a:noFill/>
            <a:ln>
              <a:noFill/>
            </a:ln>
            <a:effectLst/>
          </c:spPr>
          <c:txPr>
            <a:bodyPr rot="0" spcFirstLastPara="1" vertOverflow="ellipsis" vert="horz" wrap="square" lIns="38100" tIns="19050" rIns="38100" bIns="19050" anchor="ctr" anchorCtr="0">
              <a:spAutoFit/>
            </a:bodyPr>
            <a:lstStyle/>
            <a:p>
              <a:pPr algn="ctr" rtl="0">
                <a:defRPr lang="en-GB" sz="1000" b="1" i="0" u="none" strike="noStrike" kern="1200" spc="0" baseline="0">
                  <a:solidFill>
                    <a:sysClr val="windowText" lastClr="000000"/>
                  </a:solidFill>
                  <a:effectLst/>
                  <a:latin typeface="+mj-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7200488997555011"/>
                  <c:h val="9.3984962406015032E-2"/>
                </c:manualLayout>
              </c15:layout>
            </c:ext>
          </c:extLst>
        </c:dLbl>
      </c:pivotFmt>
    </c:pivotFmts>
    <c:plotArea>
      <c:layout/>
      <c:pieChart>
        <c:varyColors val="1"/>
        <c:ser>
          <c:idx val="0"/>
          <c:order val="0"/>
          <c:tx>
            <c:strRef>
              <c:f>'Pivot Table'!$B$61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dLbl>
              <c:idx val="0"/>
              <c:layout>
                <c:manualLayout>
                  <c:x val="-0.29673571033591128"/>
                  <c:y val="-0.23127765515823587"/>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38212302468126197"/>
                      <c:h val="0.23496240601503762"/>
                    </c:manualLayout>
                  </c15:layout>
                </c:ext>
              </c:extLst>
            </c:dLbl>
            <c:dLbl>
              <c:idx val="1"/>
              <c:layout/>
              <c:dLblPos val="bestFit"/>
              <c:showLegendKey val="0"/>
              <c:showVal val="1"/>
              <c:showCatName val="0"/>
              <c:showSerName val="0"/>
              <c:showPercent val="0"/>
              <c:showBubbleSize val="0"/>
              <c:extLst>
                <c:ext xmlns:c15="http://schemas.microsoft.com/office/drawing/2012/chart" uri="{CE6537A1-D6FC-4f65-9D91-7224C49458BB}">
                  <c15:layout>
                    <c:manualLayout>
                      <c:w val="0.27200488997555011"/>
                      <c:h val="9.3984962406015032E-2"/>
                    </c:manualLayout>
                  </c15:layout>
                </c:ext>
              </c:extLst>
            </c:dLbl>
            <c:spPr>
              <a:noFill/>
              <a:ln>
                <a:noFill/>
              </a:ln>
              <a:effectLst/>
            </c:spPr>
            <c:txPr>
              <a:bodyPr rot="0" spcFirstLastPara="1" vertOverflow="ellipsis" vert="horz" wrap="square" lIns="38100" tIns="19050" rIns="38100" bIns="19050" anchor="ctr" anchorCtr="0">
                <a:spAutoFit/>
              </a:bodyPr>
              <a:lstStyle/>
              <a:p>
                <a:pPr algn="ctr" rtl="0">
                  <a:defRPr lang="en-GB" sz="1000" b="1" i="0" u="none" strike="noStrike" kern="1200" spc="0" baseline="0">
                    <a:solidFill>
                      <a:sysClr val="windowText" lastClr="000000"/>
                    </a:solidFill>
                    <a:effectLst/>
                    <a:latin typeface="+mj-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Table'!$A$62:$A$64</c:f>
              <c:strCache>
                <c:ptCount val="2"/>
                <c:pt idx="0">
                  <c:v>Female</c:v>
                </c:pt>
                <c:pt idx="1">
                  <c:v>Male</c:v>
                </c:pt>
              </c:strCache>
            </c:strRef>
          </c:cat>
          <c:val>
            <c:numRef>
              <c:f>'Pivot Table'!$B$62:$B$64</c:f>
              <c:numCache>
                <c:formatCode>_(* #,##0_);_(* \(#,##0\);_(* "-"??_);_(@_)</c:formatCode>
                <c:ptCount val="2"/>
                <c:pt idx="0">
                  <c:v>15408409</c:v>
                </c:pt>
                <c:pt idx="1">
                  <c:v>3107448</c:v>
                </c:pt>
              </c:numCache>
            </c:numRef>
          </c:val>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lgn="ctr" rtl="0">
            <a:defRPr lang="en-GB" sz="1000" b="1" i="0" u="none" strike="noStrike" kern="1200" spc="0" baseline="0">
              <a:solidFill>
                <a:sysClr val="windowText" lastClr="000000"/>
              </a:solidFill>
              <a:effectLst/>
              <a:latin typeface="+mj-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[Gs_Couture.xlsx]Pivot Table!PivotTable7</c:name>
    <c:fmtId val="2"/>
  </c:pivotSource>
  <c:chart>
    <c:title>
      <c:tx>
        <c:rich>
          <a:bodyPr rot="0" spcFirstLastPara="1" vertOverflow="ellipsis" vert="horz" wrap="square" anchor="ctr" anchorCtr="1"/>
          <a:lstStyle/>
          <a:p>
            <a:pPr algn="ctr" rtl="0">
              <a:defRPr lang="en-US" sz="1000" b="1" i="0" u="none" strike="noStrike" kern="1200" spc="0" baseline="0">
                <a:solidFill>
                  <a:sysClr val="windowText" lastClr="000000"/>
                </a:solidFill>
                <a:effectLst/>
                <a:latin typeface="+mj-lt"/>
                <a:ea typeface="+mn-ea"/>
                <a:cs typeface="+mn-cs"/>
              </a:defRPr>
            </a:pPr>
            <a:r>
              <a:rPr lang="en-US" sz="1000" b="1" i="0" u="none" strike="noStrike" kern="1200" spc="0" baseline="0">
                <a:solidFill>
                  <a:sysClr val="windowText" lastClr="000000"/>
                </a:solidFill>
                <a:effectLst/>
                <a:latin typeface="+mj-lt"/>
                <a:ea typeface="+mn-ea"/>
                <a:cs typeface="+mn-cs"/>
              </a:rPr>
              <a:t>Monthly Revenue (₦)</a:t>
            </a:r>
          </a:p>
        </c:rich>
      </c:tx>
      <c:layout/>
      <c:overlay val="0"/>
      <c:spPr>
        <a:noFill/>
        <a:ln>
          <a:noFill/>
        </a:ln>
        <a:effectLst/>
      </c:spPr>
      <c:txPr>
        <a:bodyPr rot="0" spcFirstLastPara="1" vertOverflow="ellipsis" vert="horz" wrap="square" anchor="ctr" anchorCtr="1"/>
        <a:lstStyle/>
        <a:p>
          <a:pPr algn="ctr" rtl="0">
            <a:defRPr lang="en-US" sz="1000" b="1" i="0" u="none" strike="noStrike" kern="1200" spc="0" baseline="0">
              <a:solidFill>
                <a:sysClr val="windowText" lastClr="000000"/>
              </a:solidFill>
              <a:effectLst/>
              <a:latin typeface="+mj-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GB" sz="1000" b="1" i="0" u="none" strike="noStrike" kern="1200" spc="0" baseline="0">
                  <a:solidFill>
                    <a:sysClr val="windowText" lastClr="000000"/>
                  </a:solidFill>
                  <a:effectLst/>
                  <a:latin typeface="+mj-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layout>
            <c:manualLayout>
              <c:x val="-0.10592023007675037"/>
              <c:y val="1.4856872486396885E-2"/>
            </c:manualLayout>
          </c:layout>
          <c:spPr>
            <a:noFill/>
            <a:ln>
              <a:noFill/>
            </a:ln>
            <a:effectLst/>
          </c:spPr>
          <c:txPr>
            <a:bodyPr rot="0" spcFirstLastPara="1" vertOverflow="ellipsis" vert="horz" wrap="square" lIns="38100" tIns="19050" rIns="38100" bIns="19050" anchor="ctr" anchorCtr="0">
              <a:spAutoFit/>
            </a:bodyPr>
            <a:lstStyle/>
            <a:p>
              <a:pPr algn="ctr" rtl="0">
                <a:defRPr lang="en-GB" sz="1000" b="1" i="0" u="none" strike="noStrike" kern="1200" spc="0" baseline="0">
                  <a:solidFill>
                    <a:sysClr val="windowText" lastClr="000000"/>
                  </a:solidFill>
                  <a:effectLst/>
                  <a:latin typeface="+mj-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layout>
            <c:manualLayout>
              <c:x val="-0.13197207324465449"/>
              <c:y val="3.3782824698367596E-2"/>
            </c:manualLayout>
          </c:layout>
          <c:spPr>
            <a:noFill/>
            <a:ln>
              <a:noFill/>
            </a:ln>
            <a:effectLst/>
          </c:spPr>
          <c:txPr>
            <a:bodyPr rot="0" spcFirstLastPara="1" vertOverflow="ellipsis" vert="horz" wrap="square" lIns="38100" tIns="19050" rIns="38100" bIns="19050" anchor="ctr" anchorCtr="0">
              <a:spAutoFit/>
            </a:bodyPr>
            <a:lstStyle/>
            <a:p>
              <a:pPr algn="ctr" rtl="0">
                <a:defRPr lang="en-GB" sz="1000" b="1" i="0" u="none" strike="noStrike" kern="1200" spc="0" baseline="0">
                  <a:solidFill>
                    <a:sysClr val="windowText" lastClr="000000"/>
                  </a:solidFill>
                  <a:effectLst/>
                  <a:latin typeface="+mj-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layout>
            <c:manualLayout>
              <c:x val="-8.5078755542427068E-2"/>
              <c:y val="-1.8263543884551692E-2"/>
            </c:manualLayout>
          </c:layout>
          <c:spPr>
            <a:noFill/>
            <a:ln>
              <a:noFill/>
            </a:ln>
            <a:effectLst/>
          </c:spPr>
          <c:txPr>
            <a:bodyPr rot="0" spcFirstLastPara="1" vertOverflow="ellipsis" vert="horz" wrap="square" lIns="38100" tIns="19050" rIns="38100" bIns="19050" anchor="ctr" anchorCtr="0">
              <a:spAutoFit/>
            </a:bodyPr>
            <a:lstStyle/>
            <a:p>
              <a:pPr algn="ctr" rtl="0">
                <a:defRPr lang="en-GB" sz="1000" b="1" i="0" u="none" strike="noStrike" kern="1200" spc="0" baseline="0">
                  <a:solidFill>
                    <a:sysClr val="windowText" lastClr="000000"/>
                  </a:solidFill>
                  <a:effectLst/>
                  <a:latin typeface="+mj-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layout>
            <c:manualLayout>
              <c:x val="-8.7683939859217477E-2"/>
              <c:y val="4.3245800804352967E-2"/>
            </c:manualLayout>
          </c:layout>
          <c:spPr>
            <a:noFill/>
            <a:ln>
              <a:noFill/>
            </a:ln>
            <a:effectLst/>
          </c:spPr>
          <c:txPr>
            <a:bodyPr rot="0" spcFirstLastPara="1" vertOverflow="ellipsis" vert="horz" wrap="square" lIns="38100" tIns="19050" rIns="38100" bIns="19050" anchor="ctr" anchorCtr="0">
              <a:spAutoFit/>
            </a:bodyPr>
            <a:lstStyle/>
            <a:p>
              <a:pPr algn="ctr" rtl="0">
                <a:defRPr lang="en-GB" sz="1000" b="1" i="0" u="none" strike="noStrike" kern="1200" spc="0" baseline="0">
                  <a:solidFill>
                    <a:sysClr val="windowText" lastClr="000000"/>
                  </a:solidFill>
                  <a:effectLst/>
                  <a:latin typeface="+mj-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layout>
            <c:manualLayout>
              <c:x val="-0.10852541439354083"/>
              <c:y val="-3.7189496096522355E-2"/>
            </c:manualLayout>
          </c:layout>
          <c:spPr>
            <a:noFill/>
            <a:ln>
              <a:noFill/>
            </a:ln>
            <a:effectLst/>
          </c:spPr>
          <c:txPr>
            <a:bodyPr rot="0" spcFirstLastPara="1" vertOverflow="ellipsis" vert="horz" wrap="square" lIns="38100" tIns="19050" rIns="38100" bIns="19050" anchor="ctr" anchorCtr="0">
              <a:spAutoFit/>
            </a:bodyPr>
            <a:lstStyle/>
            <a:p>
              <a:pPr algn="ctr" rtl="0">
                <a:defRPr lang="en-GB" sz="1000" b="1" i="0" u="none" strike="noStrike" kern="1200" spc="0" baseline="0">
                  <a:solidFill>
                    <a:sysClr val="windowText" lastClr="000000"/>
                  </a:solidFill>
                  <a:effectLst/>
                  <a:latin typeface="+mj-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layout>
            <c:manualLayout>
              <c:x val="-9.2894308492798408E-2"/>
              <c:y val="3.3782824698367638E-2"/>
            </c:manualLayout>
          </c:layout>
          <c:spPr>
            <a:noFill/>
            <a:ln>
              <a:noFill/>
            </a:ln>
            <a:effectLst/>
          </c:spPr>
          <c:txPr>
            <a:bodyPr rot="0" spcFirstLastPara="1" vertOverflow="ellipsis" vert="horz" wrap="square" lIns="38100" tIns="19050" rIns="38100" bIns="19050" anchor="ctr" anchorCtr="0">
              <a:spAutoFit/>
            </a:bodyPr>
            <a:lstStyle/>
            <a:p>
              <a:pPr algn="ctr" rtl="0">
                <a:defRPr lang="en-GB" sz="1000" b="1" i="0" u="none" strike="noStrike" kern="1200" spc="0" baseline="0">
                  <a:solidFill>
                    <a:sysClr val="windowText" lastClr="000000"/>
                  </a:solidFill>
                  <a:effectLst/>
                  <a:latin typeface="+mj-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layout>
            <c:manualLayout>
              <c:x val="-8.5078755542427068E-2"/>
              <c:y val="-8.9235864679441682E-2"/>
            </c:manualLayout>
          </c:layout>
          <c:spPr>
            <a:noFill/>
            <a:ln>
              <a:noFill/>
            </a:ln>
            <a:effectLst/>
          </c:spPr>
          <c:txPr>
            <a:bodyPr rot="0" spcFirstLastPara="1" vertOverflow="ellipsis" vert="horz" wrap="square" lIns="38100" tIns="19050" rIns="38100" bIns="19050" anchor="ctr" anchorCtr="0">
              <a:spAutoFit/>
            </a:bodyPr>
            <a:lstStyle/>
            <a:p>
              <a:pPr algn="ctr" rtl="0">
                <a:defRPr lang="en-GB" sz="1000" b="1" i="0" u="none" strike="noStrike" kern="1200" spc="0" baseline="0">
                  <a:solidFill>
                    <a:sysClr val="windowText" lastClr="000000"/>
                  </a:solidFill>
                  <a:effectLst/>
                  <a:latin typeface="+mj-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layout>
            <c:manualLayout>
              <c:x val="-6.9128668412345287E-2"/>
              <c:y val="-8.9235864679441682E-2"/>
            </c:manualLayout>
          </c:layout>
          <c:spPr>
            <a:noFill/>
            <a:ln>
              <a:noFill/>
            </a:ln>
            <a:effectLst/>
          </c:spPr>
          <c:txPr>
            <a:bodyPr rot="0" spcFirstLastPara="1" vertOverflow="ellipsis" vert="horz" wrap="square" lIns="38100" tIns="19050" rIns="38100" bIns="19050" anchor="ctr" anchorCtr="0">
              <a:spAutoFit/>
            </a:bodyPr>
            <a:lstStyle/>
            <a:p>
              <a:pPr algn="ctr" rtl="0">
                <a:defRPr lang="en-GB" sz="1000" b="1" i="0" u="none" strike="noStrike" kern="1200" spc="0" baseline="0">
                  <a:solidFill>
                    <a:sysClr val="windowText" lastClr="000000"/>
                  </a:solidFill>
                  <a:effectLst/>
                  <a:latin typeface="+mj-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layout>
            <c:manualLayout>
              <c:x val="-0.10560124884741107"/>
              <c:y val="-6.0846936361485686E-2"/>
            </c:manualLayout>
          </c:layout>
          <c:spPr>
            <a:noFill/>
            <a:ln>
              <a:noFill/>
            </a:ln>
            <a:effectLst/>
          </c:spPr>
          <c:txPr>
            <a:bodyPr rot="0" spcFirstLastPara="1" vertOverflow="ellipsis" vert="horz" wrap="square" lIns="38100" tIns="19050" rIns="38100" bIns="19050" anchor="ctr" anchorCtr="0">
              <a:spAutoFit/>
            </a:bodyPr>
            <a:lstStyle/>
            <a:p>
              <a:pPr algn="ctr" rtl="0">
                <a:defRPr lang="en-GB" sz="1000" b="1" i="0" u="none" strike="noStrike" kern="1200" spc="0" baseline="0">
                  <a:solidFill>
                    <a:sysClr val="windowText" lastClr="000000"/>
                  </a:solidFill>
                  <a:effectLst/>
                  <a:latin typeface="+mj-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layout>
            <c:manualLayout>
              <c:x val="-1.6394199259678272E-3"/>
              <c:y val="-4.6652472202507692E-2"/>
            </c:manualLayout>
          </c:layout>
          <c:spPr>
            <a:noFill/>
            <a:ln>
              <a:noFill/>
            </a:ln>
            <a:effectLst/>
          </c:spPr>
          <c:txPr>
            <a:bodyPr rot="0" spcFirstLastPara="1" vertOverflow="ellipsis" vert="horz" wrap="square" lIns="38100" tIns="19050" rIns="38100" bIns="19050" anchor="ctr" anchorCtr="0">
              <a:spAutoFit/>
            </a:bodyPr>
            <a:lstStyle/>
            <a:p>
              <a:pPr algn="ctr" rtl="0">
                <a:defRPr lang="en-GB" sz="1000" b="1" i="0" u="none" strike="noStrike" kern="1200" spc="0" baseline="0">
                  <a:solidFill>
                    <a:sysClr val="windowText" lastClr="000000"/>
                  </a:solidFill>
                  <a:effectLst/>
                  <a:latin typeface="+mj-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0">
              <a:spAutoFit/>
            </a:bodyPr>
            <a:lstStyle/>
            <a:p>
              <a:pPr algn="ctr" rtl="0">
                <a:defRPr lang="en-GB" sz="1000" b="1" i="0" u="none" strike="noStrike" kern="1200" spc="0" baseline="0">
                  <a:solidFill>
                    <a:sysClr val="windowText" lastClr="000000"/>
                  </a:solidFill>
                  <a:effectLst/>
                  <a:latin typeface="+mj-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ln w="28575" cap="rnd">
            <a:solidFill>
              <a:schemeClr val="accent1"/>
            </a:solidFill>
            <a:round/>
          </a:ln>
          <a:effectLst/>
        </c:spPr>
        <c:marker>
          <c:symbol val="none"/>
        </c:marker>
        <c:dLbl>
          <c:idx val="0"/>
          <c:layout>
            <c:manualLayout>
              <c:x val="-9.3393498226514784E-2"/>
              <c:y val="-2.3656289266493557E-2"/>
            </c:manualLayout>
          </c:layout>
          <c:spPr>
            <a:noFill/>
            <a:ln>
              <a:noFill/>
            </a:ln>
            <a:effectLst/>
          </c:spPr>
          <c:txPr>
            <a:bodyPr rot="0" spcFirstLastPara="1" vertOverflow="ellipsis" vert="horz" wrap="square" lIns="38100" tIns="19050" rIns="38100" bIns="19050" anchor="ctr" anchorCtr="0">
              <a:spAutoFit/>
            </a:bodyPr>
            <a:lstStyle/>
            <a:p>
              <a:pPr algn="ctr" rtl="0">
                <a:defRPr lang="en-GB" sz="1000" b="1" i="0" u="none" strike="noStrike" kern="1200" spc="0" baseline="0">
                  <a:solidFill>
                    <a:schemeClr val="bg1"/>
                  </a:solidFill>
                  <a:effectLst/>
                  <a:latin typeface="+mj-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ln w="28575" cap="rnd">
            <a:solidFill>
              <a:schemeClr val="accent1"/>
            </a:solidFill>
            <a:round/>
          </a:ln>
          <a:effectLst/>
        </c:spPr>
        <c:marker>
          <c:symbol val="none"/>
        </c:marker>
        <c:dLbl>
          <c:idx val="0"/>
          <c:layout>
            <c:manualLayout>
              <c:x val="-7.3689064728977849E-2"/>
              <c:y val="-7.613611187134274E-2"/>
            </c:manualLayout>
          </c:layout>
          <c:spPr>
            <a:noFill/>
            <a:ln>
              <a:noFill/>
            </a:ln>
            <a:effectLst/>
          </c:spPr>
          <c:txPr>
            <a:bodyPr rot="0" spcFirstLastPara="1" vertOverflow="ellipsis" vert="horz" wrap="square" lIns="38100" tIns="19050" rIns="38100" bIns="19050" anchor="ctr" anchorCtr="0">
              <a:spAutoFit/>
            </a:bodyPr>
            <a:lstStyle/>
            <a:p>
              <a:pPr algn="ctr" rtl="0">
                <a:defRPr lang="en-GB" sz="1000" b="1" i="0" u="none" strike="noStrike" kern="1200" spc="0" baseline="0">
                  <a:solidFill>
                    <a:schemeClr val="bg1"/>
                  </a:solidFill>
                  <a:effectLst/>
                  <a:latin typeface="+mj-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16"/>
        <c:spPr>
          <a:ln w="28575" cap="rnd">
            <a:solidFill>
              <a:schemeClr val="accent1"/>
            </a:solidFill>
            <a:round/>
          </a:ln>
          <a:effectLst/>
        </c:spPr>
        <c:marker>
          <c:symbol val="none"/>
        </c:marker>
        <c:dLbl>
          <c:idx val="0"/>
          <c:layout>
            <c:manualLayout>
              <c:x val="-5.8095324291360169E-2"/>
              <c:y val="3.6897352200640117E-2"/>
            </c:manualLayout>
          </c:layout>
          <c:spPr>
            <a:noFill/>
            <a:ln>
              <a:noFill/>
            </a:ln>
            <a:effectLst/>
          </c:spPr>
          <c:txPr>
            <a:bodyPr rot="0" spcFirstLastPara="1" vertOverflow="ellipsis" vert="horz" wrap="square" lIns="38100" tIns="19050" rIns="38100" bIns="19050" anchor="ctr" anchorCtr="0">
              <a:spAutoFit/>
            </a:bodyPr>
            <a:lstStyle/>
            <a:p>
              <a:pPr algn="ctr" rtl="0">
                <a:defRPr lang="en-GB" sz="1000" b="1" i="0" u="none" strike="noStrike" kern="1200" spc="0" baseline="0">
                  <a:solidFill>
                    <a:schemeClr val="bg1"/>
                  </a:solidFill>
                  <a:effectLst/>
                  <a:latin typeface="+mj-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17"/>
        <c:spPr>
          <a:ln w="28575" cap="rnd">
            <a:solidFill>
              <a:schemeClr val="accent1"/>
            </a:solidFill>
            <a:round/>
          </a:ln>
          <a:effectLst/>
        </c:spPr>
        <c:marker>
          <c:symbol val="none"/>
        </c:marker>
      </c:pivotFmt>
      <c:pivotFmt>
        <c:idx val="18"/>
        <c:spPr>
          <a:ln w="28575" cap="rnd">
            <a:solidFill>
              <a:schemeClr val="accent1"/>
            </a:solidFill>
            <a:round/>
          </a:ln>
          <a:effectLst/>
        </c:spPr>
        <c:marker>
          <c:symbol val="none"/>
        </c:marker>
      </c:pivotFmt>
      <c:pivotFmt>
        <c:idx val="19"/>
        <c:spPr>
          <a:ln w="28575" cap="rnd">
            <a:solidFill>
              <a:schemeClr val="accent1"/>
            </a:solidFill>
            <a:round/>
          </a:ln>
          <a:effectLst/>
        </c:spPr>
        <c:marker>
          <c:symbol val="none"/>
        </c:marker>
      </c:pivotFmt>
      <c:pivotFmt>
        <c:idx val="20"/>
        <c:spPr>
          <a:ln w="28575" cap="rnd">
            <a:solidFill>
              <a:schemeClr val="accent1"/>
            </a:solidFill>
            <a:round/>
          </a:ln>
          <a:effectLst/>
        </c:spPr>
        <c:marker>
          <c:symbol val="none"/>
        </c:marker>
      </c:pivotFmt>
      <c:pivotFmt>
        <c:idx val="21"/>
        <c:spPr>
          <a:ln w="28575" cap="rnd">
            <a:solidFill>
              <a:schemeClr val="accent1"/>
            </a:solidFill>
            <a:round/>
          </a:ln>
          <a:effectLst/>
        </c:spPr>
        <c:marker>
          <c:symbol val="none"/>
        </c:marker>
        <c:dLbl>
          <c:idx val="0"/>
          <c:layout>
            <c:manualLayout>
              <c:x val="-7.1499683229251543E-2"/>
              <c:y val="-3.576701755992033E-2"/>
            </c:manualLayout>
          </c:layout>
          <c:spPr>
            <a:noFill/>
            <a:ln>
              <a:noFill/>
            </a:ln>
            <a:effectLst/>
          </c:spPr>
          <c:txPr>
            <a:bodyPr rot="0" spcFirstLastPara="1" vertOverflow="ellipsis" vert="horz" wrap="square" lIns="38100" tIns="19050" rIns="38100" bIns="19050" anchor="ctr" anchorCtr="0">
              <a:spAutoFit/>
            </a:bodyPr>
            <a:lstStyle/>
            <a:p>
              <a:pPr algn="ctr" rtl="0">
                <a:defRPr lang="en-GB" sz="1000" b="1" i="0" u="none" strike="noStrike" kern="1200" spc="0" baseline="0">
                  <a:solidFill>
                    <a:sysClr val="windowText" lastClr="000000"/>
                  </a:solidFill>
                  <a:effectLst/>
                  <a:latin typeface="+mj-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22"/>
        <c:spPr>
          <a:ln w="28575" cap="rnd">
            <a:solidFill>
              <a:schemeClr val="accent1"/>
            </a:solidFill>
            <a:round/>
          </a:ln>
          <a:effectLst/>
        </c:spPr>
        <c:marker>
          <c:symbol val="none"/>
        </c:marker>
      </c:pivotFmt>
      <c:pivotFmt>
        <c:idx val="23"/>
        <c:spPr>
          <a:ln w="28575" cap="rnd">
            <a:solidFill>
              <a:schemeClr val="accent1"/>
            </a:solidFill>
            <a:round/>
          </a:ln>
          <a:effectLst/>
        </c:spPr>
        <c:marker>
          <c:symbol val="none"/>
        </c:marker>
      </c:pivotFmt>
      <c:pivotFmt>
        <c:idx val="24"/>
        <c:spPr>
          <a:ln w="28575" cap="rnd">
            <a:solidFill>
              <a:schemeClr val="accent1"/>
            </a:solidFill>
            <a:round/>
          </a:ln>
          <a:effectLst/>
        </c:spPr>
        <c:marker>
          <c:symbol val="none"/>
        </c:marker>
      </c:pivotFmt>
      <c:pivotFmt>
        <c:idx val="25"/>
        <c:spPr>
          <a:ln w="28575" cap="rnd">
            <a:solidFill>
              <a:schemeClr val="accent1"/>
            </a:solidFill>
            <a:round/>
          </a:ln>
          <a:effectLst/>
        </c:spPr>
        <c:marker>
          <c:symbol val="none"/>
        </c:marker>
      </c:pivotFmt>
      <c:pivotFmt>
        <c:idx val="26"/>
        <c:spPr>
          <a:ln w="28575" cap="rnd">
            <a:solidFill>
              <a:schemeClr val="accent1"/>
            </a:solidFill>
            <a:round/>
          </a:ln>
          <a:effectLst/>
        </c:spPr>
        <c:marker>
          <c:symbol val="none"/>
        </c:marker>
      </c:pivotFmt>
      <c:pivotFmt>
        <c:idx val="27"/>
        <c:spPr>
          <a:ln w="28575" cap="rnd">
            <a:solidFill>
              <a:schemeClr val="accent1"/>
            </a:solidFill>
            <a:round/>
          </a:ln>
          <a:effectLst/>
        </c:spPr>
        <c:marker>
          <c:symbol val="none"/>
        </c:marker>
        <c:dLbl>
          <c:idx val="0"/>
          <c:layout>
            <c:manualLayout>
              <c:x val="-5.5435139573070606E-2"/>
              <c:y val="-8.2726445984403624E-2"/>
            </c:manualLayout>
          </c:layout>
          <c:spPr>
            <a:noFill/>
            <a:ln>
              <a:noFill/>
            </a:ln>
            <a:effectLst/>
          </c:spPr>
          <c:txPr>
            <a:bodyPr rot="0" spcFirstLastPara="1" vertOverflow="ellipsis" vert="horz" wrap="square" lIns="38100" tIns="19050" rIns="38100" bIns="19050" anchor="ctr" anchorCtr="0">
              <a:spAutoFit/>
            </a:bodyPr>
            <a:lstStyle/>
            <a:p>
              <a:pPr algn="ctr" rtl="0">
                <a:defRPr lang="en-GB" sz="1000" b="1" i="0" u="none" strike="noStrike" kern="1200" spc="0" baseline="0">
                  <a:solidFill>
                    <a:sysClr val="windowText" lastClr="000000"/>
                  </a:solidFill>
                  <a:effectLst/>
                  <a:latin typeface="+mj-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28"/>
        <c:spPr>
          <a:ln w="28575" cap="rnd">
            <a:solidFill>
              <a:schemeClr val="accent1"/>
            </a:solidFill>
            <a:round/>
          </a:ln>
          <a:effectLst/>
        </c:spPr>
        <c:marker>
          <c:symbol val="none"/>
        </c:marker>
      </c:pivotFmt>
      <c:pivotFmt>
        <c:idx val="29"/>
        <c:spPr>
          <a:ln w="28575" cap="rnd">
            <a:solidFill>
              <a:schemeClr val="accent1"/>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0">
              <a:spAutoFit/>
            </a:bodyPr>
            <a:lstStyle/>
            <a:p>
              <a:pPr algn="ctr" rtl="0">
                <a:defRPr lang="en-GB" sz="1000" b="1" i="0" u="none" strike="noStrike" kern="1200" spc="0" baseline="0">
                  <a:solidFill>
                    <a:schemeClr val="bg1"/>
                  </a:solidFill>
                  <a:effectLst/>
                  <a:latin typeface="+mj-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
        <c:idx val="30"/>
        <c:spPr>
          <a:ln w="28575" cap="rnd">
            <a:solidFill>
              <a:schemeClr val="accent1"/>
            </a:solidFill>
            <a:round/>
          </a:ln>
          <a:effectLst/>
        </c:spPr>
        <c:marker>
          <c:symbol val="none"/>
        </c:marker>
      </c:pivotFmt>
      <c:pivotFmt>
        <c:idx val="31"/>
        <c:spPr>
          <a:ln w="28575" cap="rnd">
            <a:solidFill>
              <a:schemeClr val="accent1"/>
            </a:solidFill>
            <a:round/>
          </a:ln>
          <a:effectLst/>
        </c:spPr>
        <c:marker>
          <c:symbol val="none"/>
        </c:marker>
      </c:pivotFmt>
      <c:pivotFmt>
        <c:idx val="32"/>
        <c:spPr>
          <a:ln w="28575" cap="rnd">
            <a:solidFill>
              <a:schemeClr val="accent1"/>
            </a:solidFill>
            <a:round/>
          </a:ln>
          <a:effectLst/>
        </c:spPr>
        <c:marker>
          <c:symbol val="none"/>
        </c:marker>
      </c:pivotFmt>
      <c:pivotFmt>
        <c:idx val="33"/>
        <c:spPr>
          <a:ln w="28575" cap="rnd">
            <a:solidFill>
              <a:schemeClr val="accent2"/>
            </a:solidFill>
            <a:round/>
          </a:ln>
          <a:effectLst/>
        </c:spPr>
        <c:marker>
          <c:symbol val="none"/>
        </c:marker>
      </c:pivotFmt>
      <c:pivotFmt>
        <c:idx val="34"/>
        <c:spPr>
          <a:ln w="28575" cap="rnd">
            <a:solidFill>
              <a:schemeClr val="accent2"/>
            </a:solidFill>
            <a:round/>
          </a:ln>
          <a:effectLst/>
        </c:spPr>
        <c:marker>
          <c:symbol val="none"/>
        </c:marker>
      </c:pivotFmt>
      <c:pivotFmt>
        <c:idx val="35"/>
        <c:spPr>
          <a:ln w="28575" cap="rnd">
            <a:solidFill>
              <a:schemeClr val="accent2"/>
            </a:solidFill>
            <a:round/>
          </a:ln>
          <a:effectLst/>
        </c:spPr>
        <c:marker>
          <c:symbol val="none"/>
        </c:marker>
      </c:pivotFmt>
      <c:pivotFmt>
        <c:idx val="36"/>
        <c:spPr>
          <a:ln w="28575" cap="rnd">
            <a:solidFill>
              <a:schemeClr val="accent2"/>
            </a:solidFill>
            <a:round/>
          </a:ln>
          <a:effectLst/>
        </c:spPr>
        <c:marker>
          <c:symbol val="none"/>
        </c:marker>
      </c:pivotFmt>
    </c:pivotFmts>
    <c:plotArea>
      <c:layout>
        <c:manualLayout>
          <c:layoutTarget val="inner"/>
          <c:xMode val="edge"/>
          <c:yMode val="edge"/>
          <c:x val="4.238021971391507E-2"/>
          <c:y val="0.10794084186575655"/>
          <c:w val="0.93638243495425144"/>
          <c:h val="0.64380604301595401"/>
        </c:manualLayout>
      </c:layout>
      <c:lineChart>
        <c:grouping val="standard"/>
        <c:varyColors val="0"/>
        <c:ser>
          <c:idx val="0"/>
          <c:order val="0"/>
          <c:tx>
            <c:strRef>
              <c:f>'Pivot Table'!$B$91:$B$92</c:f>
              <c:strCache>
                <c:ptCount val="1"/>
                <c:pt idx="0">
                  <c:v>2025</c:v>
                </c:pt>
              </c:strCache>
            </c:strRef>
          </c:tx>
          <c:spPr>
            <a:ln w="28575" cap="rnd">
              <a:solidFill>
                <a:schemeClr val="accent1"/>
              </a:solidFill>
              <a:round/>
            </a:ln>
            <a:effectLst/>
          </c:spPr>
          <c:marker>
            <c:symbol val="none"/>
          </c:marker>
          <c:dPt>
            <c:idx val="0"/>
            <c:marker>
              <c:symbol val="none"/>
            </c:marker>
            <c:bubble3D val="0"/>
          </c:dPt>
          <c:dPt>
            <c:idx val="1"/>
            <c:marker>
              <c:symbol val="none"/>
            </c:marker>
            <c:bubble3D val="0"/>
          </c:dPt>
          <c:dPt>
            <c:idx val="2"/>
            <c:marker>
              <c:symbol val="none"/>
            </c:marker>
            <c:bubble3D val="0"/>
          </c:dPt>
          <c:dPt>
            <c:idx val="4"/>
            <c:marker>
              <c:symbol val="none"/>
            </c:marker>
            <c:bubble3D val="0"/>
          </c:dPt>
          <c:dPt>
            <c:idx val="5"/>
            <c:marker>
              <c:symbol val="none"/>
            </c:marker>
            <c:bubble3D val="0"/>
          </c:dPt>
          <c:dPt>
            <c:idx val="6"/>
            <c:marker>
              <c:symbol val="none"/>
            </c:marker>
            <c:bubble3D val="0"/>
          </c:dPt>
          <c:dPt>
            <c:idx val="7"/>
            <c:marker>
              <c:symbol val="none"/>
            </c:marker>
            <c:bubble3D val="0"/>
          </c:dPt>
          <c:dLbls>
            <c:dLbl>
              <c:idx val="0"/>
              <c:layout>
                <c:manualLayout>
                  <c:x val="-9.3393498226514784E-2"/>
                  <c:y val="-2.3656289266493557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7.3689064728977849E-2"/>
                  <c:y val="-7.613611187134274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5.8095324291360169E-2"/>
                  <c:y val="3.6897352200640117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0">
                <a:spAutoFit/>
              </a:bodyPr>
              <a:lstStyle/>
              <a:p>
                <a:pPr algn="ctr" rtl="0">
                  <a:defRPr lang="en-GB" sz="1000" b="1" i="0" u="none" strike="noStrike" kern="1200" spc="0" baseline="0">
                    <a:solidFill>
                      <a:schemeClr val="bg1"/>
                    </a:solidFill>
                    <a:effectLst/>
                    <a:latin typeface="+mj-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Table'!$A$93:$A$105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Table'!$B$93:$B$105</c:f>
              <c:numCache>
                <c:formatCode>_(* #,##0_);_(* \(#,##0\);_(* "-"??_);_(@_)</c:formatCode>
                <c:ptCount val="12"/>
                <c:pt idx="0">
                  <c:v>1147391</c:v>
                </c:pt>
                <c:pt idx="1">
                  <c:v>1214851</c:v>
                </c:pt>
                <c:pt idx="2">
                  <c:v>717541</c:v>
                </c:pt>
                <c:pt idx="3">
                  <c:v>1623378</c:v>
                </c:pt>
                <c:pt idx="4">
                  <c:v>956274</c:v>
                </c:pt>
                <c:pt idx="5">
                  <c:v>1124661</c:v>
                </c:pt>
                <c:pt idx="6">
                  <c:v>1362768</c:v>
                </c:pt>
                <c:pt idx="7">
                  <c:v>805362</c:v>
                </c:pt>
                <c:pt idx="8">
                  <c:v>1857503</c:v>
                </c:pt>
                <c:pt idx="9">
                  <c:v>922305</c:v>
                </c:pt>
                <c:pt idx="10">
                  <c:v>295079</c:v>
                </c:pt>
                <c:pt idx="11">
                  <c:v>588076</c:v>
                </c:pt>
              </c:numCache>
            </c:numRef>
          </c:val>
          <c:smooth val="0"/>
        </c:ser>
        <c:ser>
          <c:idx val="1"/>
          <c:order val="1"/>
          <c:tx>
            <c:strRef>
              <c:f>'Pivot Table'!$C$91:$C$92</c:f>
              <c:strCache>
                <c:ptCount val="1"/>
                <c:pt idx="0">
                  <c:v>2026</c:v>
                </c:pt>
              </c:strCache>
            </c:strRef>
          </c:tx>
          <c:spPr>
            <a:ln w="28575" cap="rnd">
              <a:solidFill>
                <a:schemeClr val="accent2"/>
              </a:solidFill>
              <a:round/>
            </a:ln>
            <a:effectLst/>
          </c:spPr>
          <c:marker>
            <c:symbol val="none"/>
          </c:marker>
          <c:dPt>
            <c:idx val="1"/>
            <c:marker>
              <c:symbol val="none"/>
            </c:marker>
            <c:bubble3D val="0"/>
          </c:dPt>
          <c:dPt>
            <c:idx val="2"/>
            <c:marker>
              <c:symbol val="none"/>
            </c:marker>
            <c:bubble3D val="0"/>
          </c:dPt>
          <c:dPt>
            <c:idx val="3"/>
            <c:marker>
              <c:symbol val="none"/>
            </c:marker>
            <c:bubble3D val="0"/>
          </c:dPt>
          <c:dPt>
            <c:idx val="4"/>
            <c:marker>
              <c:symbol val="none"/>
            </c:marker>
            <c:bubble3D val="0"/>
          </c:dPt>
          <c:dPt>
            <c:idx val="5"/>
            <c:marker>
              <c:symbol val="none"/>
            </c:marker>
            <c:bubble3D val="0"/>
          </c:dPt>
          <c:dPt>
            <c:idx val="6"/>
            <c:marker>
              <c:symbol val="none"/>
            </c:marker>
            <c:bubble3D val="0"/>
          </c:dPt>
          <c:dPt>
            <c:idx val="7"/>
            <c:marker>
              <c:symbol val="none"/>
            </c:marker>
            <c:bubble3D val="0"/>
          </c:dPt>
          <c:dPt>
            <c:idx val="8"/>
            <c:marker>
              <c:symbol val="none"/>
            </c:marker>
            <c:bubble3D val="0"/>
          </c:dPt>
          <c:dLbls>
            <c:dLbl>
              <c:idx val="2"/>
              <c:layout>
                <c:manualLayout>
                  <c:x val="-7.1499683229251543E-2"/>
                  <c:y val="-3.576701755992033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7"/>
              <c:layout>
                <c:manualLayout>
                  <c:x val="-5.5435139573070606E-2"/>
                  <c:y val="-8.2726445984403624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0">
                <a:spAutoFit/>
              </a:bodyPr>
              <a:lstStyle/>
              <a:p>
                <a:pPr algn="ctr" rtl="0">
                  <a:defRPr lang="en-GB" sz="1000" b="1" i="0" u="none" strike="noStrike" kern="1200" spc="0" baseline="0">
                    <a:solidFill>
                      <a:sysClr val="windowText" lastClr="000000"/>
                    </a:solidFill>
                    <a:effectLst/>
                    <a:latin typeface="+mj-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Table'!$A$93:$A$105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Table'!$C$93:$C$105</c:f>
              <c:numCache>
                <c:formatCode>_(* #,##0_);_(* \(#,##0\);_(* "-"??_);_(@_)</c:formatCode>
                <c:ptCount val="12"/>
                <c:pt idx="0">
                  <c:v>235748</c:v>
                </c:pt>
                <c:pt idx="1">
                  <c:v>734725</c:v>
                </c:pt>
                <c:pt idx="2">
                  <c:v>1227120</c:v>
                </c:pt>
                <c:pt idx="3">
                  <c:v>915658</c:v>
                </c:pt>
                <c:pt idx="4">
                  <c:v>654753</c:v>
                </c:pt>
                <c:pt idx="5">
                  <c:v>557681</c:v>
                </c:pt>
                <c:pt idx="6">
                  <c:v>337920</c:v>
                </c:pt>
                <c:pt idx="7">
                  <c:v>848725</c:v>
                </c:pt>
                <c:pt idx="8">
                  <c:v>388338</c:v>
                </c:pt>
              </c:numCache>
            </c:numRef>
          </c:val>
          <c:smooth val="0"/>
        </c:ser>
        <c:dLbls>
          <c:dLblPos val="t"/>
          <c:showLegendKey val="0"/>
          <c:showVal val="1"/>
          <c:showCatName val="0"/>
          <c:showSerName val="0"/>
          <c:showPercent val="0"/>
          <c:showBubbleSize val="0"/>
        </c:dLbls>
        <c:smooth val="0"/>
        <c:axId val="308601296"/>
        <c:axId val="308601688"/>
      </c:lineChart>
      <c:catAx>
        <c:axId val="308601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GB" sz="1000" b="1" i="0" u="none" strike="noStrike" kern="1200" spc="0" baseline="0">
                <a:solidFill>
                  <a:sysClr val="windowText" lastClr="000000"/>
                </a:solidFill>
                <a:effectLst/>
                <a:latin typeface="+mj-lt"/>
                <a:ea typeface="+mn-ea"/>
                <a:cs typeface="+mn-cs"/>
              </a:defRPr>
            </a:pPr>
            <a:endParaRPr lang="en-US"/>
          </a:p>
        </c:txPr>
        <c:crossAx val="308601688"/>
        <c:crosses val="autoZero"/>
        <c:auto val="1"/>
        <c:lblAlgn val="ctr"/>
        <c:lblOffset val="100"/>
        <c:noMultiLvlLbl val="0"/>
      </c:catAx>
      <c:valAx>
        <c:axId val="308601688"/>
        <c:scaling>
          <c:orientation val="minMax"/>
        </c:scaling>
        <c:delete val="1"/>
        <c:axPos val="l"/>
        <c:numFmt formatCode="_(* #,##0_);_(* \(#,##0\);_(* &quot;-&quot;??_);_(@_)" sourceLinked="1"/>
        <c:majorTickMark val="none"/>
        <c:minorTickMark val="none"/>
        <c:tickLblPos val="nextTo"/>
        <c:crossAx val="308601296"/>
        <c:crosses val="autoZero"/>
        <c:crossBetween val="between"/>
      </c:valAx>
      <c:spPr>
        <a:noFill/>
        <a:ln>
          <a:noFill/>
        </a:ln>
        <a:effectLst/>
      </c:spPr>
    </c:plotArea>
    <c:legend>
      <c:legendPos val="r"/>
      <c:layout>
        <c:manualLayout>
          <c:xMode val="edge"/>
          <c:yMode val="edge"/>
          <c:x val="0.85615729068349211"/>
          <c:y val="2.1079788234661837E-2"/>
          <c:w val="0.13508518331760255"/>
          <c:h val="0.10104825633997115"/>
        </c:manualLayout>
      </c:layout>
      <c:overlay val="0"/>
      <c:spPr>
        <a:noFill/>
        <a:ln>
          <a:noFill/>
        </a:ln>
        <a:effectLst/>
      </c:spPr>
      <c:txPr>
        <a:bodyPr rot="0" spcFirstLastPara="1" vertOverflow="ellipsis" vert="horz" wrap="square" anchor="ctr" anchorCtr="1"/>
        <a:lstStyle/>
        <a:p>
          <a:pPr algn="ctr" rtl="0">
            <a:defRPr lang="en-GB" sz="1000" b="1" i="0" u="none" strike="noStrike" kern="1200" spc="0" baseline="0">
              <a:solidFill>
                <a:sysClr val="windowText" lastClr="000000"/>
              </a:solidFill>
              <a:effectLst/>
              <a:latin typeface="+mj-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[Gs_Couture.xlsx]Pivot Table!PivotTable8</c:name>
    <c:fmtId val="2"/>
  </c:pivotSource>
  <c:chart>
    <c:title>
      <c:tx>
        <c:rich>
          <a:bodyPr rot="0" spcFirstLastPara="1" vertOverflow="ellipsis" vert="horz" wrap="square" anchor="ctr" anchorCtr="1"/>
          <a:lstStyle/>
          <a:p>
            <a:pPr algn="ctr" rtl="0">
              <a:defRPr lang="en-GB" sz="1000" b="1" i="0" u="none" strike="noStrike" kern="1200" spc="0" baseline="0">
                <a:solidFill>
                  <a:sysClr val="windowText" lastClr="000000"/>
                </a:solidFill>
                <a:effectLst/>
                <a:latin typeface="+mj-lt"/>
                <a:ea typeface="+mn-ea"/>
                <a:cs typeface="+mn-cs"/>
              </a:defRPr>
            </a:pPr>
            <a:r>
              <a:rPr lang="en-GB" sz="1000" b="1" i="0" u="none" strike="noStrike" kern="1200" spc="0" baseline="0">
                <a:solidFill>
                  <a:sysClr val="windowText" lastClr="000000"/>
                </a:solidFill>
                <a:effectLst/>
                <a:latin typeface="+mj-lt"/>
                <a:ea typeface="+mn-ea"/>
                <a:cs typeface="+mn-cs"/>
              </a:rPr>
              <a:t>Acquisition channel performance </a:t>
            </a:r>
          </a:p>
        </c:rich>
      </c:tx>
      <c:layout/>
      <c:overlay val="0"/>
      <c:spPr>
        <a:noFill/>
        <a:ln>
          <a:noFill/>
        </a:ln>
        <a:effectLst/>
      </c:spPr>
      <c:txPr>
        <a:bodyPr rot="0" spcFirstLastPara="1" vertOverflow="ellipsis" vert="horz" wrap="square" anchor="ctr" anchorCtr="1"/>
        <a:lstStyle/>
        <a:p>
          <a:pPr algn="ctr" rtl="0">
            <a:defRPr lang="en-GB" sz="1000" b="1" i="0" u="none" strike="noStrike" kern="1200" spc="0" baseline="0">
              <a:solidFill>
                <a:sysClr val="windowText" lastClr="000000"/>
              </a:solidFill>
              <a:effectLst/>
              <a:latin typeface="+mj-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GB" sz="1000" b="1" i="0" u="none" strike="noStrike" kern="1200" spc="0" baseline="0">
                  <a:solidFill>
                    <a:sysClr val="windowText" lastClr="000000"/>
                  </a:solidFill>
                  <a:effectLst/>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spPr>
            <a:noFill/>
            <a:ln>
              <a:noFill/>
            </a:ln>
            <a:effectLst/>
          </c:spPr>
          <c:txPr>
            <a:bodyPr rot="0" spcFirstLastPara="1" vertOverflow="ellipsis" vert="horz" wrap="square" lIns="38100" tIns="19050" rIns="38100" bIns="19050" anchor="ctr" anchorCtr="0">
              <a:spAutoFit/>
            </a:bodyPr>
            <a:lstStyle/>
            <a:p>
              <a:pPr algn="ctr" rtl="0">
                <a:defRPr lang="en-GB" sz="1000" b="1" i="0" u="none" strike="noStrike" kern="1200" spc="0" baseline="0">
                  <a:solidFill>
                    <a:sysClr val="windowText" lastClr="000000"/>
                  </a:solidFill>
                  <a:effectLst/>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649955207778641"/>
                  <c:h val="0.14626690891970034"/>
                </c:manualLayout>
              </c15:layout>
            </c:ext>
          </c:extLst>
        </c:dLbl>
      </c:pivotFmt>
      <c:pivotFmt>
        <c:idx val="4"/>
        <c:spPr>
          <a:solidFill>
            <a:schemeClr val="accent1"/>
          </a:solidFill>
          <a:ln>
            <a:noFill/>
          </a:ln>
          <a:effectLst/>
        </c:spPr>
        <c:dLbl>
          <c:idx val="0"/>
          <c:layout>
            <c:manualLayout>
              <c:x val="1.645562871362401E-7"/>
              <c:y val="4.9829024488884349E-2"/>
            </c:manualLayout>
          </c:layout>
          <c:spPr>
            <a:noFill/>
            <a:ln>
              <a:noFill/>
            </a:ln>
            <a:effectLst/>
          </c:spPr>
          <c:txPr>
            <a:bodyPr rot="0" spcFirstLastPara="1" vertOverflow="ellipsis" vert="horz" wrap="square" lIns="38100" tIns="19050" rIns="38100" bIns="19050" anchor="ctr" anchorCtr="0">
              <a:spAutoFit/>
            </a:bodyPr>
            <a:lstStyle/>
            <a:p>
              <a:pPr algn="ctr" rtl="0">
                <a:defRPr lang="en-GB" sz="1000" b="1" i="0" u="none" strike="noStrike" kern="1200" spc="0" baseline="0">
                  <a:solidFill>
                    <a:sysClr val="windowText" lastClr="000000"/>
                  </a:solidFill>
                  <a:effectLst/>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903874115756787"/>
                  <c:h val="0.14626690891970034"/>
                </c:manualLayout>
              </c15:layout>
            </c:ext>
          </c:extLst>
        </c:dLbl>
      </c:pivotFmt>
      <c:pivotFmt>
        <c:idx val="5"/>
        <c:spPr>
          <a:solidFill>
            <a:schemeClr val="accent1"/>
          </a:solidFill>
          <a:ln>
            <a:noFill/>
          </a:ln>
          <a:effectLst/>
        </c:spPr>
        <c:dLbl>
          <c:idx val="0"/>
          <c:layout>
            <c:manualLayout>
              <c:x val="-8.3594593865209971E-3"/>
              <c:y val="3.8330053661863858E-2"/>
            </c:manualLayout>
          </c:layout>
          <c:spPr>
            <a:noFill/>
            <a:ln>
              <a:noFill/>
            </a:ln>
            <a:effectLst/>
          </c:spPr>
          <c:txPr>
            <a:bodyPr rot="0" spcFirstLastPara="1" vertOverflow="ellipsis" vert="horz" wrap="square" lIns="38100" tIns="19050" rIns="38100" bIns="19050" anchor="ctr" anchorCtr="0">
              <a:spAutoFit/>
            </a:bodyPr>
            <a:lstStyle/>
            <a:p>
              <a:pPr algn="ctr" rtl="0">
                <a:defRPr lang="en-GB" sz="1000" b="1" i="0" u="none" strike="noStrike" kern="1200" spc="0" baseline="0">
                  <a:solidFill>
                    <a:sysClr val="windowText" lastClr="000000"/>
                  </a:solidFill>
                  <a:effectLst/>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157793023734942"/>
                  <c:h val="0.14626690891970034"/>
                </c:manualLayout>
              </c15:layout>
            </c:ext>
          </c:extLst>
        </c:dLbl>
      </c:pivotFmt>
      <c:pivotFmt>
        <c:idx val="6"/>
        <c:spPr>
          <a:solidFill>
            <a:schemeClr val="accent1"/>
          </a:solidFill>
          <a:ln>
            <a:noFill/>
          </a:ln>
          <a:effectLst/>
        </c:spPr>
        <c:dLbl>
          <c:idx val="0"/>
          <c:layout>
            <c:manualLayout>
              <c:x val="-8.3594593865209971E-3"/>
              <c:y val="2.2998092559169903E-2"/>
            </c:manualLayout>
          </c:layout>
          <c:spPr>
            <a:noFill/>
            <a:ln>
              <a:noFill/>
            </a:ln>
            <a:effectLst/>
          </c:spPr>
          <c:txPr>
            <a:bodyPr rot="0" spcFirstLastPara="1" vertOverflow="ellipsis" vert="horz" wrap="square" lIns="38100" tIns="19050" rIns="38100" bIns="19050" anchor="ctr" anchorCtr="0">
              <a:spAutoFit/>
            </a:bodyPr>
            <a:lstStyle/>
            <a:p>
              <a:pPr algn="ctr" rtl="0">
                <a:defRPr lang="en-GB" sz="1000" b="1" i="0" u="none" strike="noStrike" kern="1200" spc="0" baseline="0">
                  <a:solidFill>
                    <a:sysClr val="windowText" lastClr="000000"/>
                  </a:solidFill>
                  <a:effectLst/>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32184708508284"/>
                  <c:h val="0.14626690891970034"/>
                </c:manualLayout>
              </c15:layout>
            </c:ext>
          </c:extLst>
        </c:dLbl>
      </c:pivotFmt>
      <c:pivotFmt>
        <c:idx val="7"/>
        <c:spPr>
          <a:solidFill>
            <a:schemeClr val="accent1"/>
          </a:solidFill>
          <a:ln>
            <a:noFill/>
          </a:ln>
          <a:effectLst/>
        </c:spPr>
        <c:dLbl>
          <c:idx val="0"/>
          <c:layout/>
          <c:spPr>
            <a:noFill/>
            <a:ln>
              <a:noFill/>
            </a:ln>
            <a:effectLst/>
          </c:spPr>
          <c:txPr>
            <a:bodyPr rot="0" spcFirstLastPara="1" vertOverflow="ellipsis" vert="horz" wrap="square" lIns="38100" tIns="19050" rIns="38100" bIns="19050" anchor="ctr" anchorCtr="0">
              <a:spAutoFit/>
            </a:bodyPr>
            <a:lstStyle/>
            <a:p>
              <a:pPr algn="ctr" rtl="0">
                <a:defRPr lang="en-GB" sz="1000" b="1" i="0" u="none" strike="noStrike" kern="1200" spc="0" baseline="0">
                  <a:solidFill>
                    <a:sysClr val="windowText" lastClr="000000"/>
                  </a:solidFill>
                  <a:effectLst/>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649955207778641"/>
                  <c:h val="0.14626690891970034"/>
                </c:manualLayout>
              </c15:layout>
            </c:ext>
          </c:extLst>
        </c:dLbl>
      </c:pivotFmt>
    </c:pivotFmts>
    <c:plotArea>
      <c:layout/>
      <c:barChart>
        <c:barDir val="col"/>
        <c:grouping val="clustered"/>
        <c:varyColors val="0"/>
        <c:ser>
          <c:idx val="0"/>
          <c:order val="0"/>
          <c:tx>
            <c:strRef>
              <c:f>'Pivot Table'!$B$131</c:f>
              <c:strCache>
                <c:ptCount val="1"/>
                <c:pt idx="0">
                  <c:v>Total</c:v>
                </c:pt>
              </c:strCache>
            </c:strRef>
          </c:tx>
          <c:spPr>
            <a:solidFill>
              <a:schemeClr val="accent1"/>
            </a:solidFill>
            <a:ln>
              <a:noFill/>
            </a:ln>
            <a:effectLst/>
          </c:spPr>
          <c:invertIfNegative val="0"/>
          <c:dPt>
            <c:idx val="0"/>
            <c:invertIfNegative val="0"/>
            <c:bubble3D val="0"/>
          </c:dPt>
          <c:dPt>
            <c:idx val="1"/>
            <c:invertIfNegative val="0"/>
            <c:bubble3D val="0"/>
          </c:dPt>
          <c:dPt>
            <c:idx val="2"/>
            <c:invertIfNegative val="0"/>
            <c:bubble3D val="0"/>
          </c:dPt>
          <c:dPt>
            <c:idx val="3"/>
            <c:invertIfNegative val="0"/>
            <c:bubble3D val="0"/>
          </c:dPt>
          <c:dPt>
            <c:idx val="4"/>
            <c:invertIfNegative val="0"/>
            <c:bubble3D val="0"/>
          </c:dPt>
          <c:dLbls>
            <c:dLbl>
              <c:idx val="0"/>
              <c:layout/>
              <c:dLblPos val="outEnd"/>
              <c:showLegendKey val="0"/>
              <c:showVal val="1"/>
              <c:showCatName val="0"/>
              <c:showSerName val="0"/>
              <c:showPercent val="0"/>
              <c:showBubbleSize val="0"/>
              <c:extLst>
                <c:ext xmlns:c15="http://schemas.microsoft.com/office/drawing/2012/chart" uri="{CE6537A1-D6FC-4f65-9D91-7224C49458BB}">
                  <c15:layout>
                    <c:manualLayout>
                      <c:w val="0.22649955207778641"/>
                      <c:h val="0.14626690891970034"/>
                    </c:manualLayout>
                  </c15:layout>
                </c:ext>
              </c:extLst>
            </c:dLbl>
            <c:dLbl>
              <c:idx val="1"/>
              <c:layout>
                <c:manualLayout>
                  <c:x val="-8.3594593865209971E-3"/>
                  <c:y val="2.2998092559169903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432184708508284"/>
                      <c:h val="0.14626690891970034"/>
                    </c:manualLayout>
                  </c15:layout>
                </c:ext>
              </c:extLst>
            </c:dLbl>
            <c:dLbl>
              <c:idx val="2"/>
              <c:layout>
                <c:manualLayout>
                  <c:x val="-8.3594593865209971E-3"/>
                  <c:y val="3.8330053661863858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5157793023734942"/>
                      <c:h val="0.14626690891970034"/>
                    </c:manualLayout>
                  </c15:layout>
                </c:ext>
              </c:extLst>
            </c:dLbl>
            <c:dLbl>
              <c:idx val="3"/>
              <c:layout>
                <c:manualLayout>
                  <c:x val="1.645562871362401E-7"/>
                  <c:y val="4.9829024488884349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3903874115756787"/>
                      <c:h val="0.14626690891970034"/>
                    </c:manualLayout>
                  </c15:layout>
                </c:ext>
              </c:extLst>
            </c:dLbl>
            <c:dLbl>
              <c:idx val="4"/>
              <c:layout/>
              <c:dLblPos val="outEnd"/>
              <c:showLegendKey val="0"/>
              <c:showVal val="1"/>
              <c:showCatName val="0"/>
              <c:showSerName val="0"/>
              <c:showPercent val="0"/>
              <c:showBubbleSize val="0"/>
              <c:extLst>
                <c:ext xmlns:c15="http://schemas.microsoft.com/office/drawing/2012/chart" uri="{CE6537A1-D6FC-4f65-9D91-7224C49458BB}">
                  <c15:layout>
                    <c:manualLayout>
                      <c:w val="0.22649955207778641"/>
                      <c:h val="0.14626690891970034"/>
                    </c:manualLayout>
                  </c15:layout>
                </c:ext>
              </c:extLst>
            </c:dLbl>
            <c:spPr>
              <a:noFill/>
              <a:ln>
                <a:noFill/>
              </a:ln>
              <a:effectLst/>
            </c:spPr>
            <c:txPr>
              <a:bodyPr rot="0" spcFirstLastPara="1" vertOverflow="ellipsis" vert="horz" wrap="square" lIns="38100" tIns="19050" rIns="38100" bIns="19050" anchor="ctr" anchorCtr="0">
                <a:spAutoFit/>
              </a:bodyPr>
              <a:lstStyle/>
              <a:p>
                <a:pPr algn="ctr" rtl="0">
                  <a:defRPr lang="en-GB" sz="1000" b="1" i="0" u="none" strike="noStrike" kern="1200" spc="0" baseline="0">
                    <a:solidFill>
                      <a:sysClr val="windowText" lastClr="000000"/>
                    </a:solidFill>
                    <a:effectLst/>
                    <a:latin typeface="+mj-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Table'!$A$132:$A$137</c:f>
              <c:strCache>
                <c:ptCount val="5"/>
                <c:pt idx="0">
                  <c:v>WhatsApp</c:v>
                </c:pt>
                <c:pt idx="1">
                  <c:v>Website</c:v>
                </c:pt>
                <c:pt idx="2">
                  <c:v>Instagram</c:v>
                </c:pt>
                <c:pt idx="3">
                  <c:v>Referral</c:v>
                </c:pt>
                <c:pt idx="4">
                  <c:v>Walk-in</c:v>
                </c:pt>
              </c:strCache>
            </c:strRef>
          </c:cat>
          <c:val>
            <c:numRef>
              <c:f>'Pivot Table'!$B$132:$B$137</c:f>
              <c:numCache>
                <c:formatCode>_(* #,##0_);_(* \(#,##0\);_(* "-"??_);_(@_)</c:formatCode>
                <c:ptCount val="5"/>
                <c:pt idx="0">
                  <c:v>4176819</c:v>
                </c:pt>
                <c:pt idx="1">
                  <c:v>4016819</c:v>
                </c:pt>
                <c:pt idx="2">
                  <c:v>3868177</c:v>
                </c:pt>
                <c:pt idx="3">
                  <c:v>3719619</c:v>
                </c:pt>
                <c:pt idx="4">
                  <c:v>2734423</c:v>
                </c:pt>
              </c:numCache>
            </c:numRef>
          </c:val>
        </c:ser>
        <c:dLbls>
          <c:dLblPos val="outEnd"/>
          <c:showLegendKey val="0"/>
          <c:showVal val="1"/>
          <c:showCatName val="0"/>
          <c:showSerName val="0"/>
          <c:showPercent val="0"/>
          <c:showBubbleSize val="0"/>
        </c:dLbls>
        <c:gapWidth val="219"/>
        <c:overlap val="-27"/>
        <c:axId val="308604040"/>
        <c:axId val="308602080"/>
      </c:barChart>
      <c:catAx>
        <c:axId val="308604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GB" sz="900" b="1" i="0" u="none" strike="noStrike" kern="1200" spc="0" baseline="0">
                <a:solidFill>
                  <a:sysClr val="windowText" lastClr="000000"/>
                </a:solidFill>
                <a:effectLst/>
                <a:latin typeface="+mj-lt"/>
                <a:ea typeface="+mn-ea"/>
                <a:cs typeface="+mn-cs"/>
              </a:defRPr>
            </a:pPr>
            <a:endParaRPr lang="en-US"/>
          </a:p>
        </c:txPr>
        <c:crossAx val="308602080"/>
        <c:crosses val="autoZero"/>
        <c:auto val="1"/>
        <c:lblAlgn val="ctr"/>
        <c:lblOffset val="100"/>
        <c:noMultiLvlLbl val="0"/>
      </c:catAx>
      <c:valAx>
        <c:axId val="308602080"/>
        <c:scaling>
          <c:orientation val="minMax"/>
        </c:scaling>
        <c:delete val="1"/>
        <c:axPos val="l"/>
        <c:numFmt formatCode="_(* #,##0_);_(* \(#,##0\);_(* &quot;-&quot;??_);_(@_)" sourceLinked="1"/>
        <c:majorTickMark val="none"/>
        <c:minorTickMark val="none"/>
        <c:tickLblPos val="nextTo"/>
        <c:crossAx val="30860404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[Gs_Couture.xlsx]Pivot Table!PivotTable9</c:name>
    <c:fmtId val="2"/>
  </c:pivotSource>
  <c:chart>
    <c:title>
      <c:tx>
        <c:rich>
          <a:bodyPr rot="0" spcFirstLastPara="1" vertOverflow="ellipsis" vert="horz" wrap="square" anchor="ctr" anchorCtr="1"/>
          <a:lstStyle/>
          <a:p>
            <a:pPr algn="ctr" rtl="0">
              <a:defRPr lang="en-GB" sz="1000" b="1" i="0" u="none" strike="noStrike" kern="1200" spc="0" baseline="0">
                <a:solidFill>
                  <a:sysClr val="windowText" lastClr="000000"/>
                </a:solidFill>
                <a:effectLst/>
                <a:latin typeface="+mj-lt"/>
                <a:ea typeface="+mn-ea"/>
                <a:cs typeface="+mn-cs"/>
              </a:defRPr>
            </a:pPr>
            <a:r>
              <a:rPr lang="en-GB" sz="1000" b="1" i="0" u="none" strike="noStrike" kern="1200" spc="0" baseline="0">
                <a:solidFill>
                  <a:sysClr val="windowText" lastClr="000000"/>
                </a:solidFill>
                <a:effectLst/>
                <a:latin typeface="+mj-lt"/>
                <a:ea typeface="+mn-ea"/>
                <a:cs typeface="+mn-cs"/>
              </a:rPr>
              <a:t>Revenue By Location (₦) </a:t>
            </a:r>
          </a:p>
        </c:rich>
      </c:tx>
      <c:layout/>
      <c:overlay val="0"/>
      <c:spPr>
        <a:noFill/>
        <a:ln>
          <a:noFill/>
        </a:ln>
        <a:effectLst/>
      </c:spPr>
      <c:txPr>
        <a:bodyPr rot="0" spcFirstLastPara="1" vertOverflow="ellipsis" vert="horz" wrap="square" anchor="ctr" anchorCtr="1"/>
        <a:lstStyle/>
        <a:p>
          <a:pPr algn="ctr" rtl="0">
            <a:defRPr lang="en-GB" sz="1000" b="1" i="0" u="none" strike="noStrike" kern="1200" spc="0" baseline="0">
              <a:solidFill>
                <a:sysClr val="windowText" lastClr="000000"/>
              </a:solidFill>
              <a:effectLst/>
              <a:latin typeface="+mj-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GB" sz="1050" b="1" i="0" u="none" strike="noStrike" kern="1200" spc="0" baseline="0">
                  <a:solidFill>
                    <a:sysClr val="windowText" lastClr="000000"/>
                  </a:solidFill>
                  <a:effectLst/>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spPr>
            <a:noFill/>
            <a:ln>
              <a:noFill/>
            </a:ln>
            <a:effectLst/>
          </c:spPr>
          <c:txPr>
            <a:bodyPr rot="0" spcFirstLastPara="1" vertOverflow="ellipsis" vert="horz" wrap="square" lIns="38100" tIns="19050" rIns="38100" bIns="19050" anchor="ctr" anchorCtr="1">
              <a:spAutoFit/>
            </a:bodyPr>
            <a:lstStyle/>
            <a:p>
              <a:pPr>
                <a:defRPr lang="en-GB" sz="1050" b="1" i="0" u="none" strike="noStrike" kern="1200" spc="0" baseline="0">
                  <a:solidFill>
                    <a:sysClr val="windowText" lastClr="000000"/>
                  </a:solidFill>
                  <a:effectLst/>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514444011313022"/>
                  <c:h val="0.17126839887953518"/>
                </c:manualLayout>
              </c15:layout>
            </c:ext>
          </c:extLst>
        </c:dLbl>
      </c:pivotFmt>
      <c:pivotFmt>
        <c:idx val="4"/>
        <c:spPr>
          <a:solidFill>
            <a:schemeClr val="accent1"/>
          </a:solidFill>
          <a:ln>
            <a:noFill/>
          </a:ln>
          <a:effectLst/>
        </c:spPr>
        <c:dLbl>
          <c:idx val="0"/>
          <c:layout/>
          <c:spPr>
            <a:noFill/>
            <a:ln>
              <a:noFill/>
            </a:ln>
            <a:effectLst/>
          </c:spPr>
          <c:txPr>
            <a:bodyPr rot="0" spcFirstLastPara="1" vertOverflow="ellipsis" vert="horz" wrap="square" lIns="38100" tIns="19050" rIns="38100" bIns="19050" anchor="ctr" anchorCtr="1">
              <a:spAutoFit/>
            </a:bodyPr>
            <a:lstStyle/>
            <a:p>
              <a:pPr>
                <a:defRPr lang="en-GB" sz="1050" b="1" i="0" u="none" strike="noStrike" kern="1200" spc="0" baseline="0">
                  <a:solidFill>
                    <a:sysClr val="windowText" lastClr="000000"/>
                  </a:solidFill>
                  <a:effectLst/>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147790891522694"/>
                  <c:h val="0.17126839887953518"/>
                </c:manualLayout>
              </c15:layout>
            </c:ext>
          </c:extLst>
        </c:dLbl>
      </c:pivotFmt>
      <c:pivotFmt>
        <c:idx val="5"/>
        <c:spPr>
          <a:solidFill>
            <a:schemeClr val="accent1"/>
          </a:solidFill>
          <a:ln>
            <a:noFill/>
          </a:ln>
          <a:effectLst/>
        </c:spPr>
        <c:dLbl>
          <c:idx val="0"/>
          <c:layout/>
          <c:spPr>
            <a:noFill/>
            <a:ln>
              <a:noFill/>
            </a:ln>
            <a:effectLst/>
          </c:spPr>
          <c:txPr>
            <a:bodyPr rot="0" spcFirstLastPara="1" vertOverflow="ellipsis" vert="horz" wrap="square" lIns="38100" tIns="19050" rIns="38100" bIns="19050" anchor="ctr" anchorCtr="1">
              <a:spAutoFit/>
            </a:bodyPr>
            <a:lstStyle/>
            <a:p>
              <a:pPr>
                <a:defRPr lang="en-GB" sz="1050" b="1" i="0" u="none" strike="noStrike" kern="1200" spc="0" baseline="0">
                  <a:solidFill>
                    <a:sysClr val="windowText" lastClr="000000"/>
                  </a:solidFill>
                  <a:effectLst/>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147790891522694"/>
                  <c:h val="0.17126839887953518"/>
                </c:manualLayout>
              </c15:layout>
            </c:ext>
          </c:extLst>
        </c:dLbl>
      </c:pivotFmt>
      <c:pivotFmt>
        <c:idx val="6"/>
        <c:spPr>
          <a:solidFill>
            <a:schemeClr val="accent1"/>
          </a:solidFill>
          <a:ln>
            <a:noFill/>
          </a:ln>
          <a:effectLst/>
        </c:spPr>
        <c:dLbl>
          <c:idx val="0"/>
          <c:layout/>
          <c:spPr>
            <a:noFill/>
            <a:ln>
              <a:noFill/>
            </a:ln>
            <a:effectLst/>
          </c:spPr>
          <c:txPr>
            <a:bodyPr rot="0" spcFirstLastPara="1" vertOverflow="ellipsis" vert="horz" wrap="square" lIns="38100" tIns="19050" rIns="38100" bIns="19050" anchor="ctr" anchorCtr="1">
              <a:spAutoFit/>
            </a:bodyPr>
            <a:lstStyle/>
            <a:p>
              <a:pPr>
                <a:defRPr lang="en-GB" sz="1050" b="1" i="0" u="none" strike="noStrike" kern="1200" spc="0" baseline="0">
                  <a:solidFill>
                    <a:sysClr val="windowText" lastClr="000000"/>
                  </a:solidFill>
                  <a:effectLst/>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395406068605648"/>
                  <c:h val="0.17126839887953518"/>
                </c:manualLayout>
              </c15:layout>
            </c:ext>
          </c:extLst>
        </c:dLbl>
      </c:pivotFmt>
      <c:pivotFmt>
        <c:idx val="7"/>
        <c:spPr>
          <a:solidFill>
            <a:schemeClr val="accent1"/>
          </a:solidFill>
          <a:ln>
            <a:noFill/>
          </a:ln>
          <a:effectLst/>
        </c:spPr>
        <c:dLbl>
          <c:idx val="0"/>
          <c:layout/>
          <c:spPr>
            <a:noFill/>
            <a:ln>
              <a:noFill/>
            </a:ln>
            <a:effectLst/>
          </c:spPr>
          <c:txPr>
            <a:bodyPr rot="0" spcFirstLastPara="1" vertOverflow="ellipsis" vert="horz" wrap="square" lIns="38100" tIns="19050" rIns="38100" bIns="19050" anchor="ctr" anchorCtr="1">
              <a:spAutoFit/>
            </a:bodyPr>
            <a:lstStyle/>
            <a:p>
              <a:pPr>
                <a:defRPr lang="en-GB" sz="1050" b="1" i="0" u="none" strike="noStrike" kern="1200" spc="0" baseline="0">
                  <a:solidFill>
                    <a:sysClr val="windowText" lastClr="000000"/>
                  </a:solidFill>
                  <a:effectLst/>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771598480064171"/>
                  <c:h val="0.17126839887953518"/>
                </c:manualLayout>
              </c15:layout>
            </c:ext>
          </c:extLst>
        </c:dLbl>
      </c:pivotFmt>
      <c:pivotFmt>
        <c:idx val="8"/>
        <c:spPr>
          <a:solidFill>
            <a:schemeClr val="accent1"/>
          </a:solidFill>
          <a:ln>
            <a:noFill/>
          </a:ln>
          <a:effectLst/>
        </c:spPr>
        <c:dLbl>
          <c:idx val="0"/>
          <c:layout/>
          <c:spPr>
            <a:noFill/>
            <a:ln>
              <a:noFill/>
            </a:ln>
            <a:effectLst/>
          </c:spPr>
          <c:txPr>
            <a:bodyPr rot="0" spcFirstLastPara="1" vertOverflow="ellipsis" vert="horz" wrap="square" lIns="38100" tIns="19050" rIns="38100" bIns="19050" anchor="ctr" anchorCtr="1">
              <a:spAutoFit/>
            </a:bodyPr>
            <a:lstStyle/>
            <a:p>
              <a:pPr>
                <a:defRPr lang="en-GB" sz="1050" b="1" i="0" u="none" strike="noStrike" kern="1200" spc="0" baseline="0">
                  <a:solidFill>
                    <a:sysClr val="windowText" lastClr="000000"/>
                  </a:solidFill>
                  <a:effectLst/>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643021245688599"/>
                  <c:h val="0.17126839887953518"/>
                </c:manualLayout>
              </c15:layout>
            </c:ext>
          </c:extLst>
        </c:dLbl>
      </c:pivotFmt>
      <c:pivotFmt>
        <c:idx val="9"/>
        <c:spPr>
          <a:solidFill>
            <a:schemeClr val="accent1"/>
          </a:solidFill>
          <a:ln>
            <a:noFill/>
          </a:ln>
          <a:effectLst/>
        </c:spPr>
        <c:dLbl>
          <c:idx val="0"/>
          <c:layout/>
          <c:spPr>
            <a:noFill/>
            <a:ln>
              <a:noFill/>
            </a:ln>
            <a:effectLst/>
          </c:spPr>
          <c:txPr>
            <a:bodyPr rot="0" spcFirstLastPara="1" vertOverflow="ellipsis" vert="horz" wrap="square" lIns="38100" tIns="19050" rIns="38100" bIns="19050" anchor="ctr" anchorCtr="1">
              <a:spAutoFit/>
            </a:bodyPr>
            <a:lstStyle/>
            <a:p>
              <a:pPr>
                <a:defRPr lang="en-GB" sz="1050" b="1" i="0" u="none" strike="noStrike" kern="1200" spc="0" baseline="0">
                  <a:solidFill>
                    <a:sysClr val="windowText" lastClr="000000"/>
                  </a:solidFill>
                  <a:effectLst/>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019213657147122"/>
                  <c:h val="0.17126839887953518"/>
                </c:manualLayout>
              </c15:layout>
            </c:ext>
          </c:extLst>
        </c:dLbl>
      </c:pivotFmt>
      <c:pivotFmt>
        <c:idx val="10"/>
        <c:spPr>
          <a:solidFill>
            <a:schemeClr val="accent1"/>
          </a:solidFill>
          <a:ln>
            <a:noFill/>
          </a:ln>
          <a:effectLst/>
        </c:spPr>
        <c:dLbl>
          <c:idx val="0"/>
          <c:layout/>
          <c:spPr>
            <a:noFill/>
            <a:ln>
              <a:noFill/>
            </a:ln>
            <a:effectLst/>
          </c:spPr>
          <c:txPr>
            <a:bodyPr rot="0" spcFirstLastPara="1" vertOverflow="ellipsis" vert="horz" wrap="square" lIns="38100" tIns="19050" rIns="38100" bIns="19050" anchor="ctr" anchorCtr="1">
              <a:spAutoFit/>
            </a:bodyPr>
            <a:lstStyle/>
            <a:p>
              <a:pPr>
                <a:defRPr lang="en-GB" sz="1050" b="1" i="0" u="none" strike="noStrike" kern="1200" spc="0" baseline="0">
                  <a:solidFill>
                    <a:sysClr val="windowText" lastClr="000000"/>
                  </a:solidFill>
                  <a:effectLst/>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643021245688599"/>
                  <c:h val="0.17126839887953518"/>
                </c:manualLayout>
              </c15:layout>
            </c:ext>
          </c:extLst>
        </c:dLbl>
      </c:pivotFmt>
    </c:pivotFmts>
    <c:plotArea>
      <c:layout/>
      <c:barChart>
        <c:barDir val="bar"/>
        <c:grouping val="clustered"/>
        <c:varyColors val="0"/>
        <c:ser>
          <c:idx val="0"/>
          <c:order val="0"/>
          <c:tx>
            <c:strRef>
              <c:f>'Pivot Table'!$B$161</c:f>
              <c:strCache>
                <c:ptCount val="1"/>
                <c:pt idx="0">
                  <c:v>Total</c:v>
                </c:pt>
              </c:strCache>
            </c:strRef>
          </c:tx>
          <c:spPr>
            <a:solidFill>
              <a:schemeClr val="accent1"/>
            </a:solidFill>
            <a:ln>
              <a:noFill/>
            </a:ln>
            <a:effectLst/>
          </c:spPr>
          <c:invertIfNegative val="0"/>
          <c:dPt>
            <c:idx val="0"/>
            <c:invertIfNegative val="0"/>
            <c:bubble3D val="0"/>
          </c:dPt>
          <c:dPt>
            <c:idx val="1"/>
            <c:invertIfNegative val="0"/>
            <c:bubble3D val="0"/>
          </c:dPt>
          <c:dPt>
            <c:idx val="2"/>
            <c:invertIfNegative val="0"/>
            <c:bubble3D val="0"/>
          </c:dPt>
          <c:dPt>
            <c:idx val="3"/>
            <c:invertIfNegative val="0"/>
            <c:bubble3D val="0"/>
          </c:dPt>
          <c:dPt>
            <c:idx val="4"/>
            <c:invertIfNegative val="0"/>
            <c:bubble3D val="0"/>
          </c:dPt>
          <c:dPt>
            <c:idx val="5"/>
            <c:invertIfNegative val="0"/>
            <c:bubble3D val="0"/>
          </c:dPt>
          <c:dPt>
            <c:idx val="6"/>
            <c:invertIfNegative val="0"/>
            <c:bubble3D val="0"/>
          </c:dPt>
          <c:dPt>
            <c:idx val="7"/>
            <c:invertIfNegative val="0"/>
            <c:bubble3D val="0"/>
          </c:dPt>
          <c:dLbls>
            <c:dLbl>
              <c:idx val="0"/>
              <c:layout/>
              <c:dLblPos val="outEnd"/>
              <c:showLegendKey val="0"/>
              <c:showVal val="1"/>
              <c:showCatName val="0"/>
              <c:showSerName val="0"/>
              <c:showPercent val="0"/>
              <c:showBubbleSize val="0"/>
              <c:extLst>
                <c:ext xmlns:c15="http://schemas.microsoft.com/office/drawing/2012/chart" uri="{CE6537A1-D6FC-4f65-9D91-7224C49458BB}">
                  <c15:layout>
                    <c:manualLayout>
                      <c:w val="0.22643021245688599"/>
                      <c:h val="0.17126839887953518"/>
                    </c:manualLayout>
                  </c15:layout>
                </c:ext>
              </c:extLst>
            </c:dLbl>
            <c:dLbl>
              <c:idx val="1"/>
              <c:layout/>
              <c:dLblPos val="outEnd"/>
              <c:showLegendKey val="0"/>
              <c:showVal val="1"/>
              <c:showCatName val="0"/>
              <c:showSerName val="0"/>
              <c:showPercent val="0"/>
              <c:showBubbleSize val="0"/>
              <c:extLst>
                <c:ext xmlns:c15="http://schemas.microsoft.com/office/drawing/2012/chart" uri="{CE6537A1-D6FC-4f65-9D91-7224C49458BB}">
                  <c15:layout>
                    <c:manualLayout>
                      <c:w val="0.23019213657147122"/>
                      <c:h val="0.17126839887953518"/>
                    </c:manualLayout>
                  </c15:layout>
                </c:ext>
              </c:extLst>
            </c:dLbl>
            <c:dLbl>
              <c:idx val="2"/>
              <c:layout/>
              <c:dLblPos val="outEnd"/>
              <c:showLegendKey val="0"/>
              <c:showVal val="1"/>
              <c:showCatName val="0"/>
              <c:showSerName val="0"/>
              <c:showPercent val="0"/>
              <c:showBubbleSize val="0"/>
              <c:extLst>
                <c:ext xmlns:c15="http://schemas.microsoft.com/office/drawing/2012/chart" uri="{CE6537A1-D6FC-4f65-9D91-7224C49458BB}">
                  <c15:layout>
                    <c:manualLayout>
                      <c:w val="0.22643021245688599"/>
                      <c:h val="0.17126839887953518"/>
                    </c:manualLayout>
                  </c15:layout>
                </c:ext>
              </c:extLst>
            </c:dLbl>
            <c:dLbl>
              <c:idx val="3"/>
              <c:layout/>
              <c:dLblPos val="outEnd"/>
              <c:showLegendKey val="0"/>
              <c:showVal val="1"/>
              <c:showCatName val="0"/>
              <c:showSerName val="0"/>
              <c:showPercent val="0"/>
              <c:showBubbleSize val="0"/>
              <c:extLst>
                <c:ext xmlns:c15="http://schemas.microsoft.com/office/drawing/2012/chart" uri="{CE6537A1-D6FC-4f65-9D91-7224C49458BB}">
                  <c15:layout>
                    <c:manualLayout>
                      <c:w val="0.23771598480064171"/>
                      <c:h val="0.17126839887953518"/>
                    </c:manualLayout>
                  </c15:layout>
                </c:ext>
              </c:extLst>
            </c:dLbl>
            <c:dLbl>
              <c:idx val="4"/>
              <c:layout/>
              <c:dLblPos val="outEnd"/>
              <c:showLegendKey val="0"/>
              <c:showVal val="1"/>
              <c:showCatName val="0"/>
              <c:showSerName val="0"/>
              <c:showPercent val="0"/>
              <c:showBubbleSize val="0"/>
              <c:extLst>
                <c:ext xmlns:c15="http://schemas.microsoft.com/office/drawing/2012/chart" uri="{CE6537A1-D6FC-4f65-9D91-7224C49458BB}">
                  <c15:layout>
                    <c:manualLayout>
                      <c:w val="0.23395406068605648"/>
                      <c:h val="0.17126839887953518"/>
                    </c:manualLayout>
                  </c15:layout>
                </c:ext>
              </c:extLst>
            </c:dLbl>
            <c:dLbl>
              <c:idx val="5"/>
              <c:layout/>
              <c:dLblPos val="outEnd"/>
              <c:showLegendKey val="0"/>
              <c:showVal val="1"/>
              <c:showCatName val="0"/>
              <c:showSerName val="0"/>
              <c:showPercent val="0"/>
              <c:showBubbleSize val="0"/>
              <c:extLst>
                <c:ext xmlns:c15="http://schemas.microsoft.com/office/drawing/2012/chart" uri="{CE6537A1-D6FC-4f65-9D91-7224C49458BB}">
                  <c15:layout>
                    <c:manualLayout>
                      <c:w val="0.24147790891522694"/>
                      <c:h val="0.17126839887953518"/>
                    </c:manualLayout>
                  </c15:layout>
                </c:ext>
              </c:extLst>
            </c:dLbl>
            <c:dLbl>
              <c:idx val="6"/>
              <c:layout/>
              <c:dLblPos val="outEnd"/>
              <c:showLegendKey val="0"/>
              <c:showVal val="1"/>
              <c:showCatName val="0"/>
              <c:showSerName val="0"/>
              <c:showPercent val="0"/>
              <c:showBubbleSize val="0"/>
              <c:extLst>
                <c:ext xmlns:c15="http://schemas.microsoft.com/office/drawing/2012/chart" uri="{CE6537A1-D6FC-4f65-9D91-7224C49458BB}">
                  <c15:layout>
                    <c:manualLayout>
                      <c:w val="0.24147790891522694"/>
                      <c:h val="0.17126839887953518"/>
                    </c:manualLayout>
                  </c15:layout>
                </c:ext>
              </c:extLst>
            </c:dLbl>
            <c:dLbl>
              <c:idx val="7"/>
              <c:layout/>
              <c:dLblPos val="outEnd"/>
              <c:showLegendKey val="0"/>
              <c:showVal val="1"/>
              <c:showCatName val="0"/>
              <c:showSerName val="0"/>
              <c:showPercent val="0"/>
              <c:showBubbleSize val="0"/>
              <c:extLst>
                <c:ext xmlns:c15="http://schemas.microsoft.com/office/drawing/2012/chart" uri="{CE6537A1-D6FC-4f65-9D91-7224C49458BB}">
                  <c15:layout>
                    <c:manualLayout>
                      <c:w val="0.21514444011313022"/>
                      <c:h val="0.17126839887953518"/>
                    </c:manualLayout>
                  </c15:layout>
                </c:ext>
              </c:extLst>
            </c:dLbl>
            <c:spPr>
              <a:noFill/>
              <a:ln>
                <a:noFill/>
              </a:ln>
              <a:effectLst/>
            </c:spPr>
            <c:txPr>
              <a:bodyPr rot="0" spcFirstLastPara="1" vertOverflow="ellipsis" vert="horz" wrap="square" lIns="38100" tIns="19050" rIns="38100" bIns="19050" anchor="ctr" anchorCtr="1">
                <a:spAutoFit/>
              </a:bodyPr>
              <a:lstStyle/>
              <a:p>
                <a:pPr>
                  <a:defRPr lang="en-GB" sz="1050" b="1" i="0" u="none" strike="noStrike" kern="1200" spc="0" baseline="0">
                    <a:solidFill>
                      <a:sysClr val="windowText" lastClr="000000"/>
                    </a:solidFill>
                    <a:effectLst/>
                    <a:latin typeface="+mj-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Table'!$A$162:$A$170</c:f>
              <c:strCache>
                <c:ptCount val="8"/>
                <c:pt idx="0">
                  <c:v>Abuja</c:v>
                </c:pt>
                <c:pt idx="1">
                  <c:v>Calabar</c:v>
                </c:pt>
                <c:pt idx="2">
                  <c:v>Ibadan</c:v>
                </c:pt>
                <c:pt idx="3">
                  <c:v>Owerri</c:v>
                </c:pt>
                <c:pt idx="4">
                  <c:v>Enugu</c:v>
                </c:pt>
                <c:pt idx="5">
                  <c:v>Lagos</c:v>
                </c:pt>
                <c:pt idx="6">
                  <c:v>Port Harcourt</c:v>
                </c:pt>
                <c:pt idx="7">
                  <c:v>Benin City</c:v>
                </c:pt>
              </c:strCache>
            </c:strRef>
          </c:cat>
          <c:val>
            <c:numRef>
              <c:f>'Pivot Table'!$B$162:$B$170</c:f>
              <c:numCache>
                <c:formatCode>_(* #,##0_);_(* \(#,##0\);_(* "-"??_);_(@_)</c:formatCode>
                <c:ptCount val="8"/>
                <c:pt idx="0">
                  <c:v>1310261</c:v>
                </c:pt>
                <c:pt idx="1">
                  <c:v>1637318</c:v>
                </c:pt>
                <c:pt idx="2">
                  <c:v>2088415</c:v>
                </c:pt>
                <c:pt idx="3">
                  <c:v>2158057</c:v>
                </c:pt>
                <c:pt idx="4">
                  <c:v>2165583</c:v>
                </c:pt>
                <c:pt idx="5">
                  <c:v>2186675</c:v>
                </c:pt>
                <c:pt idx="6">
                  <c:v>3104294</c:v>
                </c:pt>
                <c:pt idx="7">
                  <c:v>3865254</c:v>
                </c:pt>
              </c:numCache>
            </c:numRef>
          </c:val>
        </c:ser>
        <c:dLbls>
          <c:dLblPos val="outEnd"/>
          <c:showLegendKey val="0"/>
          <c:showVal val="1"/>
          <c:showCatName val="0"/>
          <c:showSerName val="0"/>
          <c:showPercent val="0"/>
          <c:showBubbleSize val="0"/>
        </c:dLbls>
        <c:gapWidth val="182"/>
        <c:axId val="308600512"/>
        <c:axId val="308603256"/>
      </c:barChart>
      <c:catAx>
        <c:axId val="308600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GB" sz="1200" b="1" i="0" u="none" strike="noStrike" kern="1200" spc="0" baseline="0">
                <a:solidFill>
                  <a:sysClr val="windowText" lastClr="000000"/>
                </a:solidFill>
                <a:effectLst/>
                <a:latin typeface="+mj-lt"/>
                <a:ea typeface="+mn-ea"/>
                <a:cs typeface="+mn-cs"/>
              </a:defRPr>
            </a:pPr>
            <a:endParaRPr lang="en-US"/>
          </a:p>
        </c:txPr>
        <c:crossAx val="308603256"/>
        <c:crosses val="autoZero"/>
        <c:auto val="1"/>
        <c:lblAlgn val="ctr"/>
        <c:lblOffset val="100"/>
        <c:noMultiLvlLbl val="0"/>
      </c:catAx>
      <c:valAx>
        <c:axId val="308603256"/>
        <c:scaling>
          <c:orientation val="minMax"/>
        </c:scaling>
        <c:delete val="1"/>
        <c:axPos val="b"/>
        <c:numFmt formatCode="_(* #,##0_);_(* \(#,##0\);_(* &quot;-&quot;??_);_(@_)" sourceLinked="1"/>
        <c:majorTickMark val="none"/>
        <c:minorTickMark val="none"/>
        <c:tickLblPos val="nextTo"/>
        <c:crossAx val="30860051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lgn="ctr" rtl="0">
        <a:defRPr lang="en-GB" sz="1200" b="1" i="0" u="none" strike="noStrike" kern="1200" spc="0" baseline="0">
          <a:solidFill>
            <a:sysClr val="windowText" lastClr="000000"/>
          </a:solidFill>
          <a:effectLst/>
          <a:latin typeface="+mj-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png"/><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228600</xdr:colOff>
      <xdr:row>160</xdr:row>
      <xdr:rowOff>152400</xdr:rowOff>
    </xdr:from>
    <xdr:to>
      <xdr:col>8</xdr:col>
      <xdr:colOff>502920</xdr:colOff>
      <xdr:row>170</xdr:row>
      <xdr:rowOff>167640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144780</xdr:colOff>
      <xdr:row>130</xdr:row>
      <xdr:rowOff>76200</xdr:rowOff>
    </xdr:from>
    <xdr:to>
      <xdr:col>8</xdr:col>
      <xdr:colOff>228600</xdr:colOff>
      <xdr:row>146</xdr:row>
      <xdr:rowOff>22860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388620</xdr:colOff>
      <xdr:row>91</xdr:row>
      <xdr:rowOff>7620</xdr:rowOff>
    </xdr:from>
    <xdr:to>
      <xdr:col>10</xdr:col>
      <xdr:colOff>579120</xdr:colOff>
      <xdr:row>106</xdr:row>
      <xdr:rowOff>7620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525780</xdr:colOff>
      <xdr:row>60</xdr:row>
      <xdr:rowOff>114300</xdr:rowOff>
    </xdr:from>
    <xdr:to>
      <xdr:col>8</xdr:col>
      <xdr:colOff>205740</xdr:colOff>
      <xdr:row>71</xdr:row>
      <xdr:rowOff>160020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266700</xdr:colOff>
      <xdr:row>30</xdr:row>
      <xdr:rowOff>38100</xdr:rowOff>
    </xdr:from>
    <xdr:to>
      <xdr:col>8</xdr:col>
      <xdr:colOff>220980</xdr:colOff>
      <xdr:row>43</xdr:row>
      <xdr:rowOff>121920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30479</xdr:colOff>
      <xdr:row>0</xdr:row>
      <xdr:rowOff>7620</xdr:rowOff>
    </xdr:from>
    <xdr:to>
      <xdr:col>15</xdr:col>
      <xdr:colOff>272142</xdr:colOff>
      <xdr:row>4</xdr:row>
      <xdr:rowOff>60960</xdr:rowOff>
    </xdr:to>
    <xdr:sp macro="" textlink="">
      <xdr:nvSpPr>
        <xdr:cNvPr id="2" name="Rounded Rectangle 1"/>
        <xdr:cNvSpPr/>
      </xdr:nvSpPr>
      <xdr:spPr>
        <a:xfrm>
          <a:off x="30479" y="7620"/>
          <a:ext cx="9385663" cy="79356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582385</xdr:colOff>
      <xdr:row>0</xdr:row>
      <xdr:rowOff>0</xdr:rowOff>
    </xdr:from>
    <xdr:to>
      <xdr:col>16</xdr:col>
      <xdr:colOff>250371</xdr:colOff>
      <xdr:row>3</xdr:row>
      <xdr:rowOff>7620</xdr:rowOff>
    </xdr:to>
    <xdr:sp macro="" textlink="">
      <xdr:nvSpPr>
        <xdr:cNvPr id="3" name="TextBox 2"/>
        <xdr:cNvSpPr txBox="1"/>
      </xdr:nvSpPr>
      <xdr:spPr>
        <a:xfrm>
          <a:off x="1191985" y="0"/>
          <a:ext cx="8811986" cy="562791"/>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3200" b="1" baseline="0">
              <a:latin typeface="+mj-lt"/>
            </a:rPr>
            <a:t>Gs_Couture Revenue Analysis Dashboard</a:t>
          </a:r>
          <a:endParaRPr lang="en-GB" sz="3200" b="1">
            <a:latin typeface="+mj-lt"/>
          </a:endParaRPr>
        </a:p>
      </xdr:txBody>
    </xdr:sp>
    <xdr:clientData/>
  </xdr:twoCellAnchor>
  <xdr:twoCellAnchor>
    <xdr:from>
      <xdr:col>10</xdr:col>
      <xdr:colOff>522515</xdr:colOff>
      <xdr:row>2</xdr:row>
      <xdr:rowOff>100149</xdr:rowOff>
    </xdr:from>
    <xdr:to>
      <xdr:col>15</xdr:col>
      <xdr:colOff>228601</xdr:colOff>
      <xdr:row>4</xdr:row>
      <xdr:rowOff>65314</xdr:rowOff>
    </xdr:to>
    <xdr:sp macro="" textlink="">
      <xdr:nvSpPr>
        <xdr:cNvPr id="5" name="TextBox 4"/>
        <xdr:cNvSpPr txBox="1"/>
      </xdr:nvSpPr>
      <xdr:spPr>
        <a:xfrm>
          <a:off x="6618515" y="470263"/>
          <a:ext cx="2754086" cy="335280"/>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50" b="1">
              <a:solidFill>
                <a:sysClr val="windowText" lastClr="000000"/>
              </a:solidFill>
              <a:latin typeface="+mj-lt"/>
              <a:ea typeface="+mn-ea"/>
              <a:cs typeface="+mn-cs"/>
            </a:rPr>
            <a:t>Created By OmangAnalytics</a:t>
          </a:r>
        </a:p>
      </xdr:txBody>
    </xdr:sp>
    <xdr:clientData/>
  </xdr:twoCellAnchor>
  <xdr:twoCellAnchor>
    <xdr:from>
      <xdr:col>0</xdr:col>
      <xdr:colOff>0</xdr:colOff>
      <xdr:row>4</xdr:row>
      <xdr:rowOff>91440</xdr:rowOff>
    </xdr:from>
    <xdr:to>
      <xdr:col>2</xdr:col>
      <xdr:colOff>327660</xdr:colOff>
      <xdr:row>7</xdr:row>
      <xdr:rowOff>106680</xdr:rowOff>
    </xdr:to>
    <xdr:sp macro="" textlink="">
      <xdr:nvSpPr>
        <xdr:cNvPr id="6" name="Rounded Rectangle 5"/>
        <xdr:cNvSpPr/>
      </xdr:nvSpPr>
      <xdr:spPr>
        <a:xfrm>
          <a:off x="0" y="822960"/>
          <a:ext cx="1546860" cy="56388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45720</xdr:colOff>
      <xdr:row>4</xdr:row>
      <xdr:rowOff>123826</xdr:rowOff>
    </xdr:from>
    <xdr:to>
      <xdr:col>2</xdr:col>
      <xdr:colOff>297180</xdr:colOff>
      <xdr:row>7</xdr:row>
      <xdr:rowOff>76201</xdr:rowOff>
    </xdr:to>
    <xdr:sp macro="" textlink="">
      <xdr:nvSpPr>
        <xdr:cNvPr id="7" name="TextBox 6"/>
        <xdr:cNvSpPr txBox="1"/>
      </xdr:nvSpPr>
      <xdr:spPr>
        <a:xfrm>
          <a:off x="45720" y="847726"/>
          <a:ext cx="147066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b="1">
              <a:solidFill>
                <a:sysClr val="windowText" lastClr="000000"/>
              </a:solidFill>
              <a:latin typeface="+mj-lt"/>
            </a:rPr>
            <a:t>Total Revenue (₦)</a:t>
          </a:r>
          <a:r>
            <a:rPr lang="en-GB" sz="1200" b="1" i="0" u="none" strike="noStrike">
              <a:solidFill>
                <a:sysClr val="windowText" lastClr="000000"/>
              </a:solidFill>
              <a:effectLst/>
              <a:latin typeface="+mj-lt"/>
              <a:ea typeface="+mn-ea"/>
              <a:cs typeface="+mn-cs"/>
            </a:rPr>
            <a:t>                    </a:t>
          </a:r>
        </a:p>
        <a:p>
          <a:pPr algn="ctr"/>
          <a:r>
            <a:rPr lang="en-GB" sz="1200" b="1" i="0" u="none" strike="noStrike">
              <a:solidFill>
                <a:sysClr val="windowText" lastClr="000000"/>
              </a:solidFill>
              <a:effectLst/>
              <a:latin typeface="+mj-lt"/>
              <a:ea typeface="+mn-ea"/>
              <a:cs typeface="+mn-cs"/>
            </a:rPr>
            <a:t>18,515,857 </a:t>
          </a:r>
          <a:endParaRPr lang="en-GB" sz="1200" b="1">
            <a:solidFill>
              <a:sysClr val="windowText" lastClr="000000"/>
            </a:solidFill>
            <a:latin typeface="+mj-lt"/>
          </a:endParaRPr>
        </a:p>
      </xdr:txBody>
    </xdr:sp>
    <xdr:clientData/>
  </xdr:twoCellAnchor>
  <xdr:twoCellAnchor>
    <xdr:from>
      <xdr:col>2</xdr:col>
      <xdr:colOff>358140</xdr:colOff>
      <xdr:row>4</xdr:row>
      <xdr:rowOff>76200</xdr:rowOff>
    </xdr:from>
    <xdr:to>
      <xdr:col>5</xdr:col>
      <xdr:colOff>419100</xdr:colOff>
      <xdr:row>7</xdr:row>
      <xdr:rowOff>121920</xdr:rowOff>
    </xdr:to>
    <xdr:sp macro="" textlink="">
      <xdr:nvSpPr>
        <xdr:cNvPr id="8" name="Rounded Rectangle 7"/>
        <xdr:cNvSpPr/>
      </xdr:nvSpPr>
      <xdr:spPr>
        <a:xfrm>
          <a:off x="1577340" y="807720"/>
          <a:ext cx="1889760" cy="59436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320040</xdr:colOff>
      <xdr:row>4</xdr:row>
      <xdr:rowOff>85725</xdr:rowOff>
    </xdr:from>
    <xdr:to>
      <xdr:col>5</xdr:col>
      <xdr:colOff>434340</xdr:colOff>
      <xdr:row>7</xdr:row>
      <xdr:rowOff>121920</xdr:rowOff>
    </xdr:to>
    <xdr:sp macro="" textlink="">
      <xdr:nvSpPr>
        <xdr:cNvPr id="10" name="TextBox 9"/>
        <xdr:cNvSpPr txBox="1"/>
      </xdr:nvSpPr>
      <xdr:spPr>
        <a:xfrm>
          <a:off x="1539240" y="809625"/>
          <a:ext cx="1943100" cy="57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b="1" i="0" u="none" strike="noStrike">
              <a:solidFill>
                <a:sysClr val="windowText" lastClr="000000"/>
              </a:solidFill>
              <a:effectLst/>
              <a:latin typeface="+mj-lt"/>
              <a:ea typeface="+mn-ea"/>
              <a:cs typeface="+mn-cs"/>
            </a:rPr>
            <a:t>Average Order Value (₦)                                                    185,159</a:t>
          </a:r>
        </a:p>
      </xdr:txBody>
    </xdr:sp>
    <xdr:clientData/>
  </xdr:twoCellAnchor>
  <xdr:twoCellAnchor>
    <xdr:from>
      <xdr:col>5</xdr:col>
      <xdr:colOff>457200</xdr:colOff>
      <xdr:row>4</xdr:row>
      <xdr:rowOff>83820</xdr:rowOff>
    </xdr:from>
    <xdr:to>
      <xdr:col>7</xdr:col>
      <xdr:colOff>502920</xdr:colOff>
      <xdr:row>7</xdr:row>
      <xdr:rowOff>129540</xdr:rowOff>
    </xdr:to>
    <xdr:sp macro="" textlink="">
      <xdr:nvSpPr>
        <xdr:cNvPr id="11" name="Rounded Rectangle 10"/>
        <xdr:cNvSpPr/>
      </xdr:nvSpPr>
      <xdr:spPr>
        <a:xfrm>
          <a:off x="3505200" y="815340"/>
          <a:ext cx="1264920" cy="59436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388620</xdr:colOff>
      <xdr:row>4</xdr:row>
      <xdr:rowOff>76200</xdr:rowOff>
    </xdr:from>
    <xdr:to>
      <xdr:col>7</xdr:col>
      <xdr:colOff>548640</xdr:colOff>
      <xdr:row>7</xdr:row>
      <xdr:rowOff>129540</xdr:rowOff>
    </xdr:to>
    <xdr:sp macro="" textlink="">
      <xdr:nvSpPr>
        <xdr:cNvPr id="12" name="TextBox 11"/>
        <xdr:cNvSpPr txBox="1"/>
      </xdr:nvSpPr>
      <xdr:spPr>
        <a:xfrm>
          <a:off x="3436620" y="800100"/>
          <a:ext cx="1379220" cy="5962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b="1" i="0" u="none" strike="noStrike">
              <a:solidFill>
                <a:sysClr val="windowText" lastClr="000000"/>
              </a:solidFill>
              <a:effectLst/>
              <a:latin typeface="+mj-lt"/>
              <a:ea typeface="+mn-ea"/>
              <a:cs typeface="+mn-cs"/>
            </a:rPr>
            <a:t>Total Customers                                   </a:t>
          </a:r>
        </a:p>
        <a:p>
          <a:pPr algn="ctr"/>
          <a:r>
            <a:rPr lang="en-GB" sz="1200" b="1" i="0" u="none" strike="noStrike">
              <a:solidFill>
                <a:sysClr val="windowText" lastClr="000000"/>
              </a:solidFill>
              <a:effectLst/>
              <a:latin typeface="+mj-lt"/>
              <a:ea typeface="+mn-ea"/>
              <a:cs typeface="+mn-cs"/>
            </a:rPr>
            <a:t>100 </a:t>
          </a:r>
        </a:p>
      </xdr:txBody>
    </xdr:sp>
    <xdr:clientData/>
  </xdr:twoCellAnchor>
  <xdr:twoCellAnchor>
    <xdr:from>
      <xdr:col>7</xdr:col>
      <xdr:colOff>533400</xdr:colOff>
      <xdr:row>4</xdr:row>
      <xdr:rowOff>99060</xdr:rowOff>
    </xdr:from>
    <xdr:to>
      <xdr:col>9</xdr:col>
      <xdr:colOff>388620</xdr:colOff>
      <xdr:row>7</xdr:row>
      <xdr:rowOff>121920</xdr:rowOff>
    </xdr:to>
    <xdr:sp macro="" textlink="">
      <xdr:nvSpPr>
        <xdr:cNvPr id="13" name="Rounded Rectangle 12"/>
        <xdr:cNvSpPr/>
      </xdr:nvSpPr>
      <xdr:spPr>
        <a:xfrm>
          <a:off x="4800600" y="830580"/>
          <a:ext cx="1074420" cy="5715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434340</xdr:colOff>
      <xdr:row>4</xdr:row>
      <xdr:rowOff>66675</xdr:rowOff>
    </xdr:from>
    <xdr:to>
      <xdr:col>9</xdr:col>
      <xdr:colOff>434340</xdr:colOff>
      <xdr:row>7</xdr:row>
      <xdr:rowOff>129540</xdr:rowOff>
    </xdr:to>
    <xdr:sp macro="" textlink="">
      <xdr:nvSpPr>
        <xdr:cNvPr id="14" name="TextBox 13"/>
        <xdr:cNvSpPr txBox="1"/>
      </xdr:nvSpPr>
      <xdr:spPr>
        <a:xfrm>
          <a:off x="4701540" y="790575"/>
          <a:ext cx="1219200" cy="6057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b="1" i="0" u="none" strike="noStrike">
              <a:solidFill>
                <a:sysClr val="windowText" lastClr="000000"/>
              </a:solidFill>
              <a:effectLst/>
              <a:latin typeface="+mj-lt"/>
              <a:ea typeface="+mn-ea"/>
              <a:cs typeface="+mn-cs"/>
            </a:rPr>
            <a:t>Total Orders                                  </a:t>
          </a:r>
        </a:p>
        <a:p>
          <a:pPr algn="ctr"/>
          <a:r>
            <a:rPr lang="en-GB" sz="1200" b="1" i="0" u="none" strike="noStrike">
              <a:solidFill>
                <a:sysClr val="windowText" lastClr="000000"/>
              </a:solidFill>
              <a:effectLst/>
              <a:latin typeface="+mj-lt"/>
              <a:ea typeface="+mn-ea"/>
              <a:cs typeface="+mn-cs"/>
            </a:rPr>
            <a:t> 478 </a:t>
          </a:r>
        </a:p>
      </xdr:txBody>
    </xdr:sp>
    <xdr:clientData/>
  </xdr:twoCellAnchor>
  <xdr:twoCellAnchor>
    <xdr:from>
      <xdr:col>0</xdr:col>
      <xdr:colOff>22860</xdr:colOff>
      <xdr:row>8</xdr:row>
      <xdr:rowOff>7620</xdr:rowOff>
    </xdr:from>
    <xdr:to>
      <xdr:col>5</xdr:col>
      <xdr:colOff>99060</xdr:colOff>
      <xdr:row>22</xdr:row>
      <xdr:rowOff>97972</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xdr:colOff>
      <xdr:row>7</xdr:row>
      <xdr:rowOff>167640</xdr:rowOff>
    </xdr:from>
    <xdr:to>
      <xdr:col>5</xdr:col>
      <xdr:colOff>152400</xdr:colOff>
      <xdr:row>22</xdr:row>
      <xdr:rowOff>130629</xdr:rowOff>
    </xdr:to>
    <xdr:sp macro="" textlink="">
      <xdr:nvSpPr>
        <xdr:cNvPr id="16" name="Rectangle 15"/>
        <xdr:cNvSpPr/>
      </xdr:nvSpPr>
      <xdr:spPr>
        <a:xfrm>
          <a:off x="7620" y="1463040"/>
          <a:ext cx="3192780" cy="2738846"/>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220980</xdr:colOff>
      <xdr:row>7</xdr:row>
      <xdr:rowOff>174172</xdr:rowOff>
    </xdr:from>
    <xdr:to>
      <xdr:col>9</xdr:col>
      <xdr:colOff>350520</xdr:colOff>
      <xdr:row>21</xdr:row>
      <xdr:rowOff>54430</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198120</xdr:colOff>
      <xdr:row>7</xdr:row>
      <xdr:rowOff>160020</xdr:rowOff>
    </xdr:from>
    <xdr:to>
      <xdr:col>9</xdr:col>
      <xdr:colOff>381000</xdr:colOff>
      <xdr:row>19</xdr:row>
      <xdr:rowOff>38100</xdr:rowOff>
    </xdr:to>
    <xdr:sp macro="" textlink="">
      <xdr:nvSpPr>
        <xdr:cNvPr id="18" name="Rectangle 17"/>
        <xdr:cNvSpPr/>
      </xdr:nvSpPr>
      <xdr:spPr>
        <a:xfrm>
          <a:off x="3246120" y="1440180"/>
          <a:ext cx="2621280" cy="207264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0</xdr:colOff>
      <xdr:row>22</xdr:row>
      <xdr:rowOff>163285</xdr:rowOff>
    </xdr:from>
    <xdr:to>
      <xdr:col>9</xdr:col>
      <xdr:colOff>314325</xdr:colOff>
      <xdr:row>39</xdr:row>
      <xdr:rowOff>163284</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198120</xdr:colOff>
      <xdr:row>7</xdr:row>
      <xdr:rowOff>173354</xdr:rowOff>
    </xdr:from>
    <xdr:to>
      <xdr:col>9</xdr:col>
      <xdr:colOff>381000</xdr:colOff>
      <xdr:row>22</xdr:row>
      <xdr:rowOff>130628</xdr:rowOff>
    </xdr:to>
    <xdr:sp macro="" textlink="">
      <xdr:nvSpPr>
        <xdr:cNvPr id="20" name="Rectangle 19"/>
        <xdr:cNvSpPr/>
      </xdr:nvSpPr>
      <xdr:spPr>
        <a:xfrm>
          <a:off x="3246120" y="1468754"/>
          <a:ext cx="2621280" cy="273313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436245</xdr:colOff>
      <xdr:row>4</xdr:row>
      <xdr:rowOff>106679</xdr:rowOff>
    </xdr:from>
    <xdr:to>
      <xdr:col>15</xdr:col>
      <xdr:colOff>250371</xdr:colOff>
      <xdr:row>22</xdr:row>
      <xdr:rowOff>119742</xdr:rowOff>
    </xdr:to>
    <xdr:sp macro="" textlink="">
      <xdr:nvSpPr>
        <xdr:cNvPr id="21" name="Rectangle 20"/>
        <xdr:cNvSpPr/>
      </xdr:nvSpPr>
      <xdr:spPr>
        <a:xfrm>
          <a:off x="5922645" y="846908"/>
          <a:ext cx="3471726" cy="334409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28575</xdr:colOff>
      <xdr:row>22</xdr:row>
      <xdr:rowOff>163286</xdr:rowOff>
    </xdr:from>
    <xdr:to>
      <xdr:col>9</xdr:col>
      <xdr:colOff>371475</xdr:colOff>
      <xdr:row>40</xdr:row>
      <xdr:rowOff>0</xdr:rowOff>
    </xdr:to>
    <xdr:sp macro="" textlink="">
      <xdr:nvSpPr>
        <xdr:cNvPr id="23" name="Rectangle 22"/>
        <xdr:cNvSpPr/>
      </xdr:nvSpPr>
      <xdr:spPr>
        <a:xfrm>
          <a:off x="28575" y="4234543"/>
          <a:ext cx="5829300" cy="3167743"/>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466726</xdr:colOff>
      <xdr:row>4</xdr:row>
      <xdr:rowOff>104774</xdr:rowOff>
    </xdr:from>
    <xdr:to>
      <xdr:col>15</xdr:col>
      <xdr:colOff>152400</xdr:colOff>
      <xdr:row>22</xdr:row>
      <xdr:rowOff>87086</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435429</xdr:colOff>
      <xdr:row>22</xdr:row>
      <xdr:rowOff>163286</xdr:rowOff>
    </xdr:from>
    <xdr:to>
      <xdr:col>15</xdr:col>
      <xdr:colOff>261257</xdr:colOff>
      <xdr:row>40</xdr:row>
      <xdr:rowOff>0</xdr:rowOff>
    </xdr:to>
    <xdr:sp macro="" textlink="">
      <xdr:nvSpPr>
        <xdr:cNvPr id="25" name="Rectangle 24"/>
        <xdr:cNvSpPr/>
      </xdr:nvSpPr>
      <xdr:spPr>
        <a:xfrm>
          <a:off x="5921829" y="4234543"/>
          <a:ext cx="3483428" cy="3167743"/>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466725</xdr:colOff>
      <xdr:row>23</xdr:row>
      <xdr:rowOff>10885</xdr:rowOff>
    </xdr:from>
    <xdr:to>
      <xdr:col>15</xdr:col>
      <xdr:colOff>185057</xdr:colOff>
      <xdr:row>39</xdr:row>
      <xdr:rowOff>141513</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304800</xdr:colOff>
      <xdr:row>0</xdr:row>
      <xdr:rowOff>13335</xdr:rowOff>
    </xdr:from>
    <xdr:to>
      <xdr:col>21</xdr:col>
      <xdr:colOff>217714</xdr:colOff>
      <xdr:row>6</xdr:row>
      <xdr:rowOff>180974</xdr:rowOff>
    </xdr:to>
    <mc:AlternateContent xmlns:mc="http://schemas.openxmlformats.org/markup-compatibility/2006" xmlns:a14="http://schemas.microsoft.com/office/drawing/2010/main">
      <mc:Choice Requires="a14">
        <xdr:graphicFrame macro="">
          <xdr:nvGraphicFramePr>
            <xdr:cNvPr id="27" name="Acquisition Channel"/>
            <xdr:cNvGraphicFramePr/>
          </xdr:nvGraphicFramePr>
          <xdr:xfrm>
            <a:off x="0" y="0"/>
            <a:ext cx="0" cy="0"/>
          </xdr:xfrm>
          <a:graphic>
            <a:graphicData uri="http://schemas.microsoft.com/office/drawing/2010/slicer">
              <sle:slicer xmlns:sle="http://schemas.microsoft.com/office/drawing/2010/slicer" name="Acquisition Channel"/>
            </a:graphicData>
          </a:graphic>
        </xdr:graphicFrame>
      </mc:Choice>
      <mc:Fallback xmlns="">
        <xdr:sp macro="" textlink="">
          <xdr:nvSpPr>
            <xdr:cNvPr id="0" name=""/>
            <xdr:cNvSpPr>
              <a:spLocks noTextEdit="1"/>
            </xdr:cNvSpPr>
          </xdr:nvSpPr>
          <xdr:spPr>
            <a:xfrm>
              <a:off x="10847070" y="13335"/>
              <a:ext cx="1573529" cy="125348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228600</xdr:colOff>
      <xdr:row>0</xdr:row>
      <xdr:rowOff>26669</xdr:rowOff>
    </xdr:from>
    <xdr:to>
      <xdr:col>27</xdr:col>
      <xdr:colOff>511629</xdr:colOff>
      <xdr:row>7</xdr:row>
      <xdr:rowOff>0</xdr:rowOff>
    </xdr:to>
    <mc:AlternateContent xmlns:mc="http://schemas.openxmlformats.org/markup-compatibility/2006" xmlns:a14="http://schemas.microsoft.com/office/drawing/2010/main">
      <mc:Choice Requires="a14">
        <xdr:graphicFrame macro="">
          <xdr:nvGraphicFramePr>
            <xdr:cNvPr id="28" name="Location"/>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12430125" y="26669"/>
              <a:ext cx="2545080" cy="124015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283028</xdr:colOff>
      <xdr:row>7</xdr:row>
      <xdr:rowOff>19050</xdr:rowOff>
    </xdr:from>
    <xdr:to>
      <xdr:col>27</xdr:col>
      <xdr:colOff>576943</xdr:colOff>
      <xdr:row>40</xdr:row>
      <xdr:rowOff>0</xdr:rowOff>
    </xdr:to>
    <xdr:sp macro="" textlink="">
      <xdr:nvSpPr>
        <xdr:cNvPr id="31" name="TextBox 30"/>
        <xdr:cNvSpPr txBox="1"/>
      </xdr:nvSpPr>
      <xdr:spPr>
        <a:xfrm>
          <a:off x="9427028" y="1314450"/>
          <a:ext cx="7609115" cy="6087836"/>
        </a:xfrm>
        <a:prstGeom prst="rect">
          <a:avLst/>
        </a:prstGeom>
        <a:noFill/>
        <a:ln w="9525" cmpd="sng">
          <a:solidFill>
            <a:schemeClr val="accent1">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1100"/>
        </a:p>
        <a:p>
          <a:pPr marL="228600" indent="-228600">
            <a:buFont typeface="+mj-lt"/>
            <a:buAutoNum type="arabicParenR"/>
          </a:pPr>
          <a:endParaRPr lang="en-GB" sz="1050" b="1">
            <a:solidFill>
              <a:sysClr val="windowText" lastClr="000000"/>
            </a:solidFill>
            <a:latin typeface="+mj-lt"/>
          </a:endParaRPr>
        </a:p>
        <a:p>
          <a:pPr marL="228600" indent="-228600">
            <a:buFont typeface="+mj-lt"/>
            <a:buAutoNum type="arabicParenR"/>
          </a:pPr>
          <a:r>
            <a:rPr lang="en-GB" sz="1200" b="1">
              <a:solidFill>
                <a:sysClr val="windowText" lastClr="000000"/>
              </a:solidFill>
              <a:latin typeface="+mj-lt"/>
            </a:rPr>
            <a:t>Revenue fluctuates considerably throughout the year</a:t>
          </a:r>
          <a:r>
            <a:rPr lang="en-GB" sz="1200" b="1" baseline="0">
              <a:solidFill>
                <a:sysClr val="windowText" lastClr="000000"/>
              </a:solidFill>
              <a:latin typeface="+mj-lt"/>
            </a:rPr>
            <a:t>. </a:t>
          </a:r>
          <a:r>
            <a:rPr lang="en-GB" sz="1200" b="1">
              <a:solidFill>
                <a:sysClr val="windowText" lastClr="000000"/>
              </a:solidFill>
              <a:latin typeface="+mj-lt"/>
            </a:rPr>
            <a:t>Monthly revenue peaked at approximately ₦2.54 million in April and reached its lowest point at approximately ₦295,079 in November. Revenue then recovered to ₦588,076 in December. This indicates substantial variation in monthly sales performance.</a:t>
          </a:r>
        </a:p>
        <a:p>
          <a:pPr marL="228600" indent="-228600">
            <a:buFont typeface="+mj-lt"/>
            <a:buAutoNum type="arabicParenR"/>
          </a:pPr>
          <a:r>
            <a:rPr lang="en-GB" sz="1200" b="1">
              <a:solidFill>
                <a:sysClr val="windowText" lastClr="000000"/>
              </a:solidFill>
              <a:latin typeface="+mj-lt"/>
            </a:rPr>
            <a:t>Female customers account for approximately ₦15.41 million, compared with ₦3.11 million from male customers. Female customers therefore contribute about 83% of the displayed gender-based revenue, making them the dominant customer group by spending.</a:t>
          </a:r>
        </a:p>
        <a:p>
          <a:pPr marL="228600" indent="-228600">
            <a:buFont typeface="+mj-lt"/>
            <a:buAutoNum type="arabicParenR"/>
          </a:pPr>
          <a:r>
            <a:rPr lang="en-GB" sz="1200" b="1">
              <a:solidFill>
                <a:sysClr val="windowText" lastClr="000000"/>
              </a:solidFill>
              <a:latin typeface="+mj-lt"/>
            </a:rPr>
            <a:t>WhatsApp has the highest revenue among acquisition channels.</a:t>
          </a:r>
          <a:r>
            <a:rPr lang="en-GB" sz="1200" b="1" baseline="0">
              <a:solidFill>
                <a:sysClr val="windowText" lastClr="000000"/>
              </a:solidFill>
              <a:latin typeface="+mj-lt"/>
            </a:rPr>
            <a:t> </a:t>
          </a:r>
          <a:r>
            <a:rPr lang="en-GB" sz="1200" b="1">
              <a:solidFill>
                <a:sysClr val="windowText" lastClr="000000"/>
              </a:solidFill>
              <a:latin typeface="+mj-lt"/>
            </a:rPr>
            <a:t>WhatsApp leads with ₦4.18 million, followed by Website at ₦4.02 million, Instagram at ₦3.87 million, Referral at ₦3.72 million, and Walk-in at ₦2.73 million. Walk-in is the lowest-revenue channel among those displayed.</a:t>
          </a:r>
        </a:p>
        <a:p>
          <a:pPr marL="228600" indent="-228600">
            <a:buFont typeface="+mj-lt"/>
            <a:buAutoNum type="arabicParenR"/>
          </a:pPr>
          <a:r>
            <a:rPr lang="en-GB" sz="1200" b="1">
              <a:solidFill>
                <a:sysClr val="windowText" lastClr="000000"/>
              </a:solidFill>
              <a:latin typeface="+mj-lt"/>
            </a:rPr>
            <a:t>Benin City and Port Harcourt lead location-based revenue.</a:t>
          </a:r>
          <a:r>
            <a:rPr lang="en-GB" sz="1200" b="1" baseline="0">
              <a:solidFill>
                <a:sysClr val="windowText" lastClr="000000"/>
              </a:solidFill>
              <a:latin typeface="+mj-lt"/>
            </a:rPr>
            <a:t> </a:t>
          </a:r>
          <a:r>
            <a:rPr lang="en-GB" sz="1200" b="1">
              <a:solidFill>
                <a:sysClr val="windowText" lastClr="000000"/>
              </a:solidFill>
              <a:latin typeface="+mj-lt"/>
            </a:rPr>
            <a:t>Benin City generates approximately ₦3.87 million, followed by Port Harcourt at ₦3.10 million. Abuja records the lowest revenue of the eight locations shown, at approximately ₦1.31 million.</a:t>
          </a:r>
        </a:p>
        <a:p>
          <a:endParaRPr lang="en-GB" sz="1100"/>
        </a:p>
        <a:p>
          <a:pPr marL="228600" indent="-228600">
            <a:buFont typeface="+mj-lt"/>
            <a:buAutoNum type="arabicParenR"/>
          </a:pPr>
          <a:endParaRPr lang="en-GB" sz="1200" b="1">
            <a:latin typeface="+mj-lt"/>
          </a:endParaRPr>
        </a:p>
        <a:p>
          <a:pPr marL="228600" indent="-228600">
            <a:buFont typeface="+mj-lt"/>
            <a:buAutoNum type="arabicParenR"/>
          </a:pPr>
          <a:r>
            <a:rPr lang="en-GB" sz="1200" b="1">
              <a:latin typeface="+mj-lt"/>
            </a:rPr>
            <a:t>Investigate monthly revenue declines:</a:t>
          </a:r>
          <a:r>
            <a:rPr lang="en-GB" sz="1200" b="1" baseline="0">
              <a:latin typeface="+mj-lt"/>
            </a:rPr>
            <a:t> </a:t>
          </a:r>
          <a:r>
            <a:rPr lang="en-GB" sz="1200" b="1">
              <a:latin typeface="+mj-lt"/>
            </a:rPr>
            <a:t>Review sales, promotions, inventory availability, and customer activity during low-revenue months, particularly November and December. Plan targeted campaigns and inventory ahead of historically stronger periods, but first compare multiple years to establish whether the pattern is seasonal.</a:t>
          </a:r>
        </a:p>
        <a:p>
          <a:pPr marL="228600" indent="-228600">
            <a:buFont typeface="+mj-lt"/>
            <a:buAutoNum type="arabicParenR"/>
          </a:pPr>
          <a:r>
            <a:rPr lang="en-GB" sz="1200" b="1">
              <a:latin typeface="+mj-lt"/>
            </a:rPr>
            <a:t>Strengthen customer retention while exploring male-customer growth:</a:t>
          </a:r>
          <a:r>
            <a:rPr lang="en-GB" sz="1200" b="1" baseline="0">
              <a:latin typeface="+mj-lt"/>
            </a:rPr>
            <a:t> </a:t>
          </a:r>
          <a:r>
            <a:rPr lang="en-GB" sz="1200" b="1">
              <a:latin typeface="+mj-lt"/>
            </a:rPr>
            <a:t>Continue tailoring product recommendations and promotions to female customers, who contribute most of the recorded revenue. Test targeted campaigns for male customers and track changes in customer count, order volume, and revenue to assess whether they generate additional sales.</a:t>
          </a:r>
        </a:p>
        <a:p>
          <a:pPr marL="228600" indent="-228600">
            <a:buFont typeface="+mj-lt"/>
            <a:buAutoNum type="arabicParenR"/>
          </a:pPr>
          <a:r>
            <a:rPr lang="en-GB" sz="1200" b="1">
              <a:latin typeface="+mj-lt"/>
            </a:rPr>
            <a:t>Evaluate and optimize acquisition channels:</a:t>
          </a:r>
          <a:r>
            <a:rPr lang="en-GB" sz="1200" b="1" baseline="0">
              <a:latin typeface="+mj-lt"/>
            </a:rPr>
            <a:t> </a:t>
          </a:r>
          <a:r>
            <a:rPr lang="en-GB" sz="1200" b="1">
              <a:latin typeface="+mj-lt"/>
            </a:rPr>
            <a:t>Investigate what makes WhatsApp the leading channel and test similar approaches on the website and Instagram. Review walk-in performance to identify possible improvements. Compare conversion rates, marketing costs, and customer lifetime value before shifting budget between channels.</a:t>
          </a:r>
        </a:p>
        <a:p>
          <a:pPr marL="228600" indent="-228600">
            <a:buFont typeface="+mj-lt"/>
            <a:buAutoNum type="arabicParenR"/>
          </a:pPr>
          <a:r>
            <a:rPr lang="en-GB" sz="1200" b="1">
              <a:latin typeface="+mj-lt"/>
            </a:rPr>
            <a:t>Investigate lower-revenue locations:</a:t>
          </a:r>
          <a:r>
            <a:rPr lang="en-GB" sz="1200" b="1" baseline="0">
              <a:latin typeface="+mj-lt"/>
            </a:rPr>
            <a:t> </a:t>
          </a:r>
          <a:r>
            <a:rPr lang="en-GB" sz="1200" b="1">
              <a:latin typeface="+mj-lt"/>
            </a:rPr>
            <a:t>Examine customer numbers, average spend, order frequency, and local marketing activity in Abuja and other lower-revenue locations. Test location-specific promotions or outreach and compare results with baseline performance before increasing investment.</a:t>
          </a:r>
        </a:p>
      </xdr:txBody>
    </xdr:sp>
    <xdr:clientData/>
  </xdr:twoCellAnchor>
  <xdr:oneCellAnchor>
    <xdr:from>
      <xdr:col>19</xdr:col>
      <xdr:colOff>32656</xdr:colOff>
      <xdr:row>7</xdr:row>
      <xdr:rowOff>47626</xdr:rowOff>
    </xdr:from>
    <xdr:ext cx="1023257" cy="311604"/>
    <xdr:sp macro="" textlink="">
      <xdr:nvSpPr>
        <xdr:cNvPr id="32" name="TextBox 31"/>
        <xdr:cNvSpPr txBox="1"/>
      </xdr:nvSpPr>
      <xdr:spPr>
        <a:xfrm>
          <a:off x="11615056" y="1343026"/>
          <a:ext cx="1023257" cy="311604"/>
        </a:xfrm>
        <a:prstGeom prst="rect">
          <a:avLst/>
        </a:prstGeom>
        <a:solidFill>
          <a:schemeClr val="tx2"/>
        </a:solidFill>
        <a:ln>
          <a:solidFill>
            <a:schemeClr val="tx2"/>
          </a:solid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ctr"/>
          <a:r>
            <a:rPr lang="en-GB" sz="1600" b="1">
              <a:solidFill>
                <a:sysClr val="windowText" lastClr="000000"/>
              </a:solidFill>
              <a:effectLst/>
              <a:latin typeface="+mn-lt"/>
              <a:ea typeface="+mn-ea"/>
              <a:cs typeface="+mn-cs"/>
            </a:rPr>
            <a:t>INSIGHTS</a:t>
          </a:r>
        </a:p>
      </xdr:txBody>
    </xdr:sp>
    <xdr:clientData/>
  </xdr:oneCellAnchor>
  <xdr:oneCellAnchor>
    <xdr:from>
      <xdr:col>18</xdr:col>
      <xdr:colOff>304800</xdr:colOff>
      <xdr:row>21</xdr:row>
      <xdr:rowOff>123826</xdr:rowOff>
    </xdr:from>
    <xdr:ext cx="2121353" cy="355145"/>
    <xdr:sp macro="" textlink="">
      <xdr:nvSpPr>
        <xdr:cNvPr id="33" name="TextBox 32"/>
        <xdr:cNvSpPr txBox="1"/>
      </xdr:nvSpPr>
      <xdr:spPr>
        <a:xfrm>
          <a:off x="11277600" y="4010026"/>
          <a:ext cx="2121353" cy="355145"/>
        </a:xfrm>
        <a:prstGeom prst="rect">
          <a:avLst/>
        </a:prstGeom>
        <a:solidFill>
          <a:schemeClr val="tx2"/>
        </a:solidFill>
        <a:ln>
          <a:solidFill>
            <a:schemeClr val="tx2"/>
          </a:solid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1600" b="1">
              <a:solidFill>
                <a:sysClr val="windowText" lastClr="000000"/>
              </a:solidFill>
              <a:effectLst/>
              <a:latin typeface="+mn-lt"/>
              <a:ea typeface="+mn-ea"/>
              <a:cs typeface="+mn-cs"/>
            </a:rPr>
            <a:t>RECOMMENDATIONS</a:t>
          </a:r>
          <a:endParaRPr lang="en-GB" sz="1600" b="1">
            <a:solidFill>
              <a:sysClr val="windowText" lastClr="000000"/>
            </a:solidFill>
            <a:latin typeface="+mj-lt"/>
          </a:endParaRPr>
        </a:p>
      </xdr:txBody>
    </xdr:sp>
    <xdr:clientData/>
  </xdr:oneCellAnchor>
  <xdr:twoCellAnchor editAs="oneCell">
    <xdr:from>
      <xdr:col>0</xdr:col>
      <xdr:colOff>76200</xdr:colOff>
      <xdr:row>0</xdr:row>
      <xdr:rowOff>1</xdr:rowOff>
    </xdr:from>
    <xdr:to>
      <xdr:col>2</xdr:col>
      <xdr:colOff>54429</xdr:colOff>
      <xdr:row>4</xdr:row>
      <xdr:rowOff>87086</xdr:rowOff>
    </xdr:to>
    <xdr:pic>
      <xdr:nvPicPr>
        <xdr:cNvPr id="4" name="Picture 3"/>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6200" y="1"/>
          <a:ext cx="1197429" cy="827314"/>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HP" refreshedDate="46320.07850462963" backgroundQuery="1" createdVersion="5" refreshedVersion="5" minRefreshableVersion="3" recordCount="0" supportSubquery="1" supportAdvancedDrill="1">
  <cacheSource type="external" connectionId="1"/>
  <cacheFields count="2">
    <cacheField name="[Table1].[Gender].[Gender]" caption="Gender" numFmtId="0" hierarchy="2" level="1">
      <sharedItems count="2">
        <s v="Female"/>
        <s v="Male"/>
      </sharedItems>
    </cacheField>
    <cacheField name="[Measures].[Sum of Total Spend (₦)]" caption="Sum of Total Spend (₦)" numFmtId="0" hierarchy="15" level="32767"/>
  </cacheFields>
  <cacheHierarchies count="27">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fieldsUsage count="2">
        <fieldUsage x="-1"/>
        <fieldUsage x="0"/>
      </fieldsUsage>
    </cacheHierarchy>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Customer Segment]" caption="Customer Segment" attribute="1" defaultMemberUniqueName="[Table1].[Customer Segment].[All]" allUniqueName="[Table1].[Customer Segment].[All]" dimensionUniqueName="[Table1]" displayFolder="" count="0" memberValueDatatype="130" unbalanced="0"/>
    <cacheHierarchy uniqueName="[Table1].[Preferred Category]" caption="Preferred Category" attribute="1" defaultMemberUniqueName="[Table1].[Preferred Category].[All]" allUniqueName="[Table1].[Preferred Category].[All]" dimensionUniqueName="[Table1]" displayFolder="" count="0" memberValueDatatype="130" unbalanced="0"/>
    <cacheHierarchy uniqueName="[Table1].[Acquisition Channel]" caption="Acquisition Channel" attribute="1" defaultMemberUniqueName="[Table1].[Acquisition Channel].[All]" allUniqueName="[Table1].[Acquisition Channel].[All]" dimensionUniqueName="[Table1]" displayFolder="" count="0" memberValueDatatype="130" unbalanced="0"/>
    <cacheHierarchy uniqueName="[Table1].[Orders]" caption="Orders" attribute="1" defaultMemberUniqueName="[Table1].[Orders].[All]" allUniqueName="[Table1].[Orders].[All]" dimensionUniqueName="[Table1]" displayFolder="" count="0" memberValueDatatype="20" unbalanced="0"/>
    <cacheHierarchy uniqueName="[Table1].[Total Spend (₦)]" caption="Total Spend (₦)" attribute="1" defaultMemberUniqueName="[Table1].[Total Spend (₦)].[All]" allUniqueName="[Table1].[Total Spend (₦)].[All]" dimensionUniqueName="[Table1]" displayFolder="" count="0" memberValueDatatype="20" unbalanced="0"/>
    <cacheHierarchy uniqueName="[Table1].[Last Purchase Date]" caption="Last Purchase Date" attribute="1" time="1" defaultMemberUniqueName="[Table1].[Last Purchase Date].[All]" allUniqueName="[Table1].[Last Purchase Date].[All]" dimensionUniqueName="[Table1]" displayFolder="" count="0" memberValueDatatype="7"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Month Number]" caption="Month Number" attribute="1" defaultMemberUniqueName="[Table1].[Month Number].[All]" allUniqueName="[Table1].[Month Number].[All]" dimensionUniqueName="[Table1]" displayFolder="" count="0" memberValueDatatype="20" unbalanced="0"/>
    <cacheHierarchy uniqueName="[Measures].[Sum of Total Spend (₦)]" caption="Sum of Total Spend (₦)" measure="1" displayFolder="" measureGroup="Table1" count="0" oneField="1">
      <fieldsUsage count="1">
        <fieldUsage x="1"/>
      </fieldsUsage>
      <extLst>
        <ext xmlns:x15="http://schemas.microsoft.com/office/spreadsheetml/2010/11/main" uri="{B97F6D7D-B522-45F9-BDA1-12C45D357490}">
          <x15:cacheHierarchy aggregatedColumn="10"/>
        </ext>
      </extLst>
    </cacheHierarchy>
    <cacheHierarchy uniqueName="[Measures].[Average of Total Spend (₦)]" caption="Average of Total Spend (₦)" measure="1" displayFolder="" measureGroup="Table1" count="0">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Table1" count="0">
      <extLst>
        <ext xmlns:x15="http://schemas.microsoft.com/office/spreadsheetml/2010/11/main" uri="{B97F6D7D-B522-45F9-BDA1-12C45D357490}">
          <x15:cacheHierarchy aggregatedColumn="0"/>
        </ext>
      </extLst>
    </cacheHierarchy>
    <cacheHierarchy uniqueName="[Measures].[Sum of Orders]" caption="Sum of Orders" measure="1" displayFolder="" measureGroup="Table1" count="0">
      <extLst>
        <ext xmlns:x15="http://schemas.microsoft.com/office/spreadsheetml/2010/11/main" uri="{B97F6D7D-B522-45F9-BDA1-12C45D357490}">
          <x15:cacheHierarchy aggregatedColumn="9"/>
        </ext>
      </extLst>
    </cacheHierarchy>
    <cacheHierarchy uniqueName="[Measures].[Count of Gender]" caption="Count of Gender" measure="1" displayFolder="" measureGroup="Table1" count="0">
      <extLst>
        <ext xmlns:x15="http://schemas.microsoft.com/office/spreadsheetml/2010/11/main" uri="{B97F6D7D-B522-45F9-BDA1-12C45D357490}">
          <x15:cacheHierarchy aggregatedColumn="2"/>
        </ext>
      </extLst>
    </cacheHierarchy>
    <cacheHierarchy uniqueName="[Measures].[Count of Customer Name]" caption="Count of Customer Name" measure="1" displayFolder="" measureGroup="Table1" count="0">
      <extLst>
        <ext xmlns:x15="http://schemas.microsoft.com/office/spreadsheetml/2010/11/main" uri="{B97F6D7D-B522-45F9-BDA1-12C45D357490}">
          <x15:cacheHierarchy aggregatedColumn="1"/>
        </ext>
      </extLst>
    </cacheHierarchy>
    <cacheHierarchy uniqueName="[Measures].[Count of Customer Segment]" caption="Count of Customer Segment" measure="1" displayFolder="" measureGroup="Table1" count="0">
      <extLst>
        <ext xmlns:x15="http://schemas.microsoft.com/office/spreadsheetml/2010/11/main" uri="{B97F6D7D-B522-45F9-BDA1-12C45D357490}">
          <x15:cacheHierarchy aggregatedColumn="6"/>
        </ext>
      </extLst>
    </cacheHierarchy>
    <cacheHierarchy uniqueName="[Measures].[Count of Acquisition Channel]" caption="Count of Acquisition Channel" measure="1" displayFolder="" measureGroup="Table1" count="0">
      <extLst>
        <ext xmlns:x15="http://schemas.microsoft.com/office/spreadsheetml/2010/11/main" uri="{B97F6D7D-B522-45F9-BDA1-12C45D357490}">
          <x15:cacheHierarchy aggregatedColumn="8"/>
        </ext>
      </extLst>
    </cacheHierarchy>
    <cacheHierarchy uniqueName="[Measures].[Count of Last Purchase Date]" caption="Count of Last Purchase Date" measure="1" displayFolder="" measureGroup="Table1" count="0">
      <extLst>
        <ext xmlns:x15="http://schemas.microsoft.com/office/spreadsheetml/2010/11/main" uri="{B97F6D7D-B522-45F9-BDA1-12C45D357490}">
          <x15:cacheHierarchy aggregatedColumn="11"/>
        </ext>
      </extLst>
    </cacheHierarchy>
    <cacheHierarchy uniqueName="[Measures].[Count of Month]" caption="Count of Month" measure="1" displayFolder="" measureGroup="Table1" count="0">
      <extLst>
        <ext xmlns:x15="http://schemas.microsoft.com/office/spreadsheetml/2010/11/main" uri="{B97F6D7D-B522-45F9-BDA1-12C45D357490}">
          <x15:cacheHierarchy aggregatedColumn="13"/>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HP" refreshedDate="46320.073352777777" backgroundQuery="1" createdVersion="5" refreshedVersion="5" minRefreshableVersion="3" recordCount="0" supportSubquery="1" supportAdvancedDrill="1">
  <cacheSource type="external" connectionId="1"/>
  <cacheFields count="1">
    <cacheField name="[Measures].[Sum of Orders]" caption="Sum of Orders" numFmtId="0" hierarchy="18" level="32767"/>
  </cacheFields>
  <cacheHierarchies count="27">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Customer Segment]" caption="Customer Segment" attribute="1" defaultMemberUniqueName="[Table1].[Customer Segment].[All]" allUniqueName="[Table1].[Customer Segment].[All]" dimensionUniqueName="[Table1]" displayFolder="" count="0" memberValueDatatype="130" unbalanced="0"/>
    <cacheHierarchy uniqueName="[Table1].[Preferred Category]" caption="Preferred Category" attribute="1" defaultMemberUniqueName="[Table1].[Preferred Category].[All]" allUniqueName="[Table1].[Preferred Category].[All]" dimensionUniqueName="[Table1]" displayFolder="" count="0" memberValueDatatype="130" unbalanced="0"/>
    <cacheHierarchy uniqueName="[Table1].[Acquisition Channel]" caption="Acquisition Channel" attribute="1" defaultMemberUniqueName="[Table1].[Acquisition Channel].[All]" allUniqueName="[Table1].[Acquisition Channel].[All]" dimensionUniqueName="[Table1]" displayFolder="" count="0" memberValueDatatype="130" unbalanced="0"/>
    <cacheHierarchy uniqueName="[Table1].[Orders]" caption="Orders" attribute="1" defaultMemberUniqueName="[Table1].[Orders].[All]" allUniqueName="[Table1].[Orders].[All]" dimensionUniqueName="[Table1]" displayFolder="" count="0" memberValueDatatype="20" unbalanced="0"/>
    <cacheHierarchy uniqueName="[Table1].[Total Spend (₦)]" caption="Total Spend (₦)" attribute="1" defaultMemberUniqueName="[Table1].[Total Spend (₦)].[All]" allUniqueName="[Table1].[Total Spend (₦)].[All]" dimensionUniqueName="[Table1]" displayFolder="" count="0" memberValueDatatype="20" unbalanced="0"/>
    <cacheHierarchy uniqueName="[Table1].[Last Purchase Date]" caption="Last Purchase Date" attribute="1" time="1" defaultMemberUniqueName="[Table1].[Last Purchase Date].[All]" allUniqueName="[Table1].[Last Purchase Date].[All]" dimensionUniqueName="[Table1]" displayFolder="" count="0" memberValueDatatype="7"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Month Number]" caption="Month Number" attribute="1" defaultMemberUniqueName="[Table1].[Month Number].[All]" allUniqueName="[Table1].[Month Number].[All]" dimensionUniqueName="[Table1]" displayFolder="" count="0" memberValueDatatype="20" unbalanced="0"/>
    <cacheHierarchy uniqueName="[Measures].[Sum of Total Spend (₦)]" caption="Sum of Total Spend (₦)" measure="1" displayFolder="" measureGroup="Table1" count="0">
      <extLst>
        <ext xmlns:x15="http://schemas.microsoft.com/office/spreadsheetml/2010/11/main" uri="{B97F6D7D-B522-45F9-BDA1-12C45D357490}">
          <x15:cacheHierarchy aggregatedColumn="10"/>
        </ext>
      </extLst>
    </cacheHierarchy>
    <cacheHierarchy uniqueName="[Measures].[Average of Total Spend (₦)]" caption="Average of Total Spend (₦)" measure="1" displayFolder="" measureGroup="Table1" count="0">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Table1" count="0">
      <extLst>
        <ext xmlns:x15="http://schemas.microsoft.com/office/spreadsheetml/2010/11/main" uri="{B97F6D7D-B522-45F9-BDA1-12C45D357490}">
          <x15:cacheHierarchy aggregatedColumn="0"/>
        </ext>
      </extLst>
    </cacheHierarchy>
    <cacheHierarchy uniqueName="[Measures].[Sum of Orders]" caption="Sum of Orders" measure="1" displayFolder="" measureGroup="Table1" count="0" oneField="1">
      <fieldsUsage count="1">
        <fieldUsage x="0"/>
      </fieldsUsage>
      <extLst>
        <ext xmlns:x15="http://schemas.microsoft.com/office/spreadsheetml/2010/11/main" uri="{B97F6D7D-B522-45F9-BDA1-12C45D357490}">
          <x15:cacheHierarchy aggregatedColumn="9"/>
        </ext>
      </extLst>
    </cacheHierarchy>
    <cacheHierarchy uniqueName="[Measures].[Count of Gender]" caption="Count of Gender" measure="1" displayFolder="" measureGroup="Table1" count="0">
      <extLst>
        <ext xmlns:x15="http://schemas.microsoft.com/office/spreadsheetml/2010/11/main" uri="{B97F6D7D-B522-45F9-BDA1-12C45D357490}">
          <x15:cacheHierarchy aggregatedColumn="2"/>
        </ext>
      </extLst>
    </cacheHierarchy>
    <cacheHierarchy uniqueName="[Measures].[Count of Customer Name]" caption="Count of Customer Name" measure="1" displayFolder="" measureGroup="Table1" count="0">
      <extLst>
        <ext xmlns:x15="http://schemas.microsoft.com/office/spreadsheetml/2010/11/main" uri="{B97F6D7D-B522-45F9-BDA1-12C45D357490}">
          <x15:cacheHierarchy aggregatedColumn="1"/>
        </ext>
      </extLst>
    </cacheHierarchy>
    <cacheHierarchy uniqueName="[Measures].[Count of Customer Segment]" caption="Count of Customer Segment" measure="1" displayFolder="" measureGroup="Table1" count="0">
      <extLst>
        <ext xmlns:x15="http://schemas.microsoft.com/office/spreadsheetml/2010/11/main" uri="{B97F6D7D-B522-45F9-BDA1-12C45D357490}">
          <x15:cacheHierarchy aggregatedColumn="6"/>
        </ext>
      </extLst>
    </cacheHierarchy>
    <cacheHierarchy uniqueName="[Measures].[Count of Acquisition Channel]" caption="Count of Acquisition Channel" measure="1" displayFolder="" measureGroup="Table1" count="0">
      <extLst>
        <ext xmlns:x15="http://schemas.microsoft.com/office/spreadsheetml/2010/11/main" uri="{B97F6D7D-B522-45F9-BDA1-12C45D357490}">
          <x15:cacheHierarchy aggregatedColumn="8"/>
        </ext>
      </extLst>
    </cacheHierarchy>
    <cacheHierarchy uniqueName="[Measures].[Count of Last Purchase Date]" caption="Count of Last Purchase Date" measure="1" displayFolder="" measureGroup="Table1" count="0">
      <extLst>
        <ext xmlns:x15="http://schemas.microsoft.com/office/spreadsheetml/2010/11/main" uri="{B97F6D7D-B522-45F9-BDA1-12C45D357490}">
          <x15:cacheHierarchy aggregatedColumn="11"/>
        </ext>
      </extLst>
    </cacheHierarchy>
    <cacheHierarchy uniqueName="[Measures].[Count of Month]" caption="Count of Month" measure="1" displayFolder="" measureGroup="Table1" count="0">
      <extLst>
        <ext xmlns:x15="http://schemas.microsoft.com/office/spreadsheetml/2010/11/main" uri="{B97F6D7D-B522-45F9-BDA1-12C45D357490}">
          <x15:cacheHierarchy aggregatedColumn="13"/>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HP" refreshedDate="46320.072011111108" backgroundQuery="1" createdVersion="5" refreshedVersion="5" minRefreshableVersion="3" recordCount="0" supportSubquery="1" supportAdvancedDrill="1">
  <cacheSource type="external" connectionId="1"/>
  <cacheFields count="1">
    <cacheField name="[Measures].[Count of Customer ID]" caption="Count of Customer ID" numFmtId="0" hierarchy="17" level="32767"/>
  </cacheFields>
  <cacheHierarchies count="27">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Customer Segment]" caption="Customer Segment" attribute="1" defaultMemberUniqueName="[Table1].[Customer Segment].[All]" allUniqueName="[Table1].[Customer Segment].[All]" dimensionUniqueName="[Table1]" displayFolder="" count="0" memberValueDatatype="130" unbalanced="0"/>
    <cacheHierarchy uniqueName="[Table1].[Preferred Category]" caption="Preferred Category" attribute="1" defaultMemberUniqueName="[Table1].[Preferred Category].[All]" allUniqueName="[Table1].[Preferred Category].[All]" dimensionUniqueName="[Table1]" displayFolder="" count="0" memberValueDatatype="130" unbalanced="0"/>
    <cacheHierarchy uniqueName="[Table1].[Acquisition Channel]" caption="Acquisition Channel" attribute="1" defaultMemberUniqueName="[Table1].[Acquisition Channel].[All]" allUniqueName="[Table1].[Acquisition Channel].[All]" dimensionUniqueName="[Table1]" displayFolder="" count="0" memberValueDatatype="130" unbalanced="0"/>
    <cacheHierarchy uniqueName="[Table1].[Orders]" caption="Orders" attribute="1" defaultMemberUniqueName="[Table1].[Orders].[All]" allUniqueName="[Table1].[Orders].[All]" dimensionUniqueName="[Table1]" displayFolder="" count="0" memberValueDatatype="20" unbalanced="0"/>
    <cacheHierarchy uniqueName="[Table1].[Total Spend (₦)]" caption="Total Spend (₦)" attribute="1" defaultMemberUniqueName="[Table1].[Total Spend (₦)].[All]" allUniqueName="[Table1].[Total Spend (₦)].[All]" dimensionUniqueName="[Table1]" displayFolder="" count="0" memberValueDatatype="20" unbalanced="0"/>
    <cacheHierarchy uniqueName="[Table1].[Last Purchase Date]" caption="Last Purchase Date" attribute="1" time="1" defaultMemberUniqueName="[Table1].[Last Purchase Date].[All]" allUniqueName="[Table1].[Last Purchase Date].[All]" dimensionUniqueName="[Table1]" displayFolder="" count="0" memberValueDatatype="7"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Month Number]" caption="Month Number" attribute="1" defaultMemberUniqueName="[Table1].[Month Number].[All]" allUniqueName="[Table1].[Month Number].[All]" dimensionUniqueName="[Table1]" displayFolder="" count="0" memberValueDatatype="20" unbalanced="0"/>
    <cacheHierarchy uniqueName="[Measures].[Sum of Total Spend (₦)]" caption="Sum of Total Spend (₦)" measure="1" displayFolder="" measureGroup="Table1" count="0">
      <extLst>
        <ext xmlns:x15="http://schemas.microsoft.com/office/spreadsheetml/2010/11/main" uri="{B97F6D7D-B522-45F9-BDA1-12C45D357490}">
          <x15:cacheHierarchy aggregatedColumn="10"/>
        </ext>
      </extLst>
    </cacheHierarchy>
    <cacheHierarchy uniqueName="[Measures].[Average of Total Spend (₦)]" caption="Average of Total Spend (₦)" measure="1" displayFolder="" measureGroup="Table1" count="0">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Table1" count="0" oneField="1">
      <fieldsUsage count="1">
        <fieldUsage x="0"/>
      </fieldsUsage>
      <extLst>
        <ext xmlns:x15="http://schemas.microsoft.com/office/spreadsheetml/2010/11/main" uri="{B97F6D7D-B522-45F9-BDA1-12C45D357490}">
          <x15:cacheHierarchy aggregatedColumn="0"/>
        </ext>
      </extLst>
    </cacheHierarchy>
    <cacheHierarchy uniqueName="[Measures].[Sum of Orders]" caption="Sum of Orders" measure="1" displayFolder="" measureGroup="Table1" count="0">
      <extLst>
        <ext xmlns:x15="http://schemas.microsoft.com/office/spreadsheetml/2010/11/main" uri="{B97F6D7D-B522-45F9-BDA1-12C45D357490}">
          <x15:cacheHierarchy aggregatedColumn="9"/>
        </ext>
      </extLst>
    </cacheHierarchy>
    <cacheHierarchy uniqueName="[Measures].[Count of Gender]" caption="Count of Gender" measure="1" displayFolder="" measureGroup="Table1" count="0">
      <extLst>
        <ext xmlns:x15="http://schemas.microsoft.com/office/spreadsheetml/2010/11/main" uri="{B97F6D7D-B522-45F9-BDA1-12C45D357490}">
          <x15:cacheHierarchy aggregatedColumn="2"/>
        </ext>
      </extLst>
    </cacheHierarchy>
    <cacheHierarchy uniqueName="[Measures].[Count of Customer Name]" caption="Count of Customer Name" measure="1" displayFolder="" measureGroup="Table1" count="0">
      <extLst>
        <ext xmlns:x15="http://schemas.microsoft.com/office/spreadsheetml/2010/11/main" uri="{B97F6D7D-B522-45F9-BDA1-12C45D357490}">
          <x15:cacheHierarchy aggregatedColumn="1"/>
        </ext>
      </extLst>
    </cacheHierarchy>
    <cacheHierarchy uniqueName="[Measures].[Count of Customer Segment]" caption="Count of Customer Segment" measure="1" displayFolder="" measureGroup="Table1" count="0">
      <extLst>
        <ext xmlns:x15="http://schemas.microsoft.com/office/spreadsheetml/2010/11/main" uri="{B97F6D7D-B522-45F9-BDA1-12C45D357490}">
          <x15:cacheHierarchy aggregatedColumn="6"/>
        </ext>
      </extLst>
    </cacheHierarchy>
    <cacheHierarchy uniqueName="[Measures].[Count of Acquisition Channel]" caption="Count of Acquisition Channel" measure="1" displayFolder="" measureGroup="Table1" count="0">
      <extLst>
        <ext xmlns:x15="http://schemas.microsoft.com/office/spreadsheetml/2010/11/main" uri="{B97F6D7D-B522-45F9-BDA1-12C45D357490}">
          <x15:cacheHierarchy aggregatedColumn="8"/>
        </ext>
      </extLst>
    </cacheHierarchy>
    <cacheHierarchy uniqueName="[Measures].[Count of Last Purchase Date]" caption="Count of Last Purchase Date" measure="1" displayFolder="" measureGroup="Table1" count="0">
      <extLst>
        <ext xmlns:x15="http://schemas.microsoft.com/office/spreadsheetml/2010/11/main" uri="{B97F6D7D-B522-45F9-BDA1-12C45D357490}">
          <x15:cacheHierarchy aggregatedColumn="11"/>
        </ext>
      </extLst>
    </cacheHierarchy>
    <cacheHierarchy uniqueName="[Measures].[Count of Month]" caption="Count of Month" measure="1" displayFolder="" measureGroup="Table1" count="0">
      <extLst>
        <ext xmlns:x15="http://schemas.microsoft.com/office/spreadsheetml/2010/11/main" uri="{B97F6D7D-B522-45F9-BDA1-12C45D357490}">
          <x15:cacheHierarchy aggregatedColumn="13"/>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HP" refreshedDate="46320.07115520833" backgroundQuery="1" createdVersion="5" refreshedVersion="5" minRefreshableVersion="3" recordCount="0" supportSubquery="1" supportAdvancedDrill="1">
  <cacheSource type="external" connectionId="1"/>
  <cacheFields count="1">
    <cacheField name="[Measures].[Average of Total Spend (₦)]" caption="Average of Total Spend (₦)" numFmtId="0" hierarchy="16" level="32767"/>
  </cacheFields>
  <cacheHierarchies count="27">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Customer Segment]" caption="Customer Segment" attribute="1" defaultMemberUniqueName="[Table1].[Customer Segment].[All]" allUniqueName="[Table1].[Customer Segment].[All]" dimensionUniqueName="[Table1]" displayFolder="" count="0" memberValueDatatype="130" unbalanced="0"/>
    <cacheHierarchy uniqueName="[Table1].[Preferred Category]" caption="Preferred Category" attribute="1" defaultMemberUniqueName="[Table1].[Preferred Category].[All]" allUniqueName="[Table1].[Preferred Category].[All]" dimensionUniqueName="[Table1]" displayFolder="" count="0" memberValueDatatype="130" unbalanced="0"/>
    <cacheHierarchy uniqueName="[Table1].[Acquisition Channel]" caption="Acquisition Channel" attribute="1" defaultMemberUniqueName="[Table1].[Acquisition Channel].[All]" allUniqueName="[Table1].[Acquisition Channel].[All]" dimensionUniqueName="[Table1]" displayFolder="" count="0" memberValueDatatype="130" unbalanced="0"/>
    <cacheHierarchy uniqueName="[Table1].[Orders]" caption="Orders" attribute="1" defaultMemberUniqueName="[Table1].[Orders].[All]" allUniqueName="[Table1].[Orders].[All]" dimensionUniqueName="[Table1]" displayFolder="" count="0" memberValueDatatype="20" unbalanced="0"/>
    <cacheHierarchy uniqueName="[Table1].[Total Spend (₦)]" caption="Total Spend (₦)" attribute="1" defaultMemberUniqueName="[Table1].[Total Spend (₦)].[All]" allUniqueName="[Table1].[Total Spend (₦)].[All]" dimensionUniqueName="[Table1]" displayFolder="" count="0" memberValueDatatype="20" unbalanced="0"/>
    <cacheHierarchy uniqueName="[Table1].[Last Purchase Date]" caption="Last Purchase Date" attribute="1" time="1" defaultMemberUniqueName="[Table1].[Last Purchase Date].[All]" allUniqueName="[Table1].[Last Purchase Date].[All]" dimensionUniqueName="[Table1]" displayFolder="" count="0" memberValueDatatype="7"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Month Number]" caption="Month Number" attribute="1" defaultMemberUniqueName="[Table1].[Month Number].[All]" allUniqueName="[Table1].[Month Number].[All]" dimensionUniqueName="[Table1]" displayFolder="" count="0" memberValueDatatype="20" unbalanced="0"/>
    <cacheHierarchy uniqueName="[Measures].[Sum of Total Spend (₦)]" caption="Sum of Total Spend (₦)" measure="1" displayFolder="" measureGroup="Table1" count="0">
      <extLst>
        <ext xmlns:x15="http://schemas.microsoft.com/office/spreadsheetml/2010/11/main" uri="{B97F6D7D-B522-45F9-BDA1-12C45D357490}">
          <x15:cacheHierarchy aggregatedColumn="10"/>
        </ext>
      </extLst>
    </cacheHierarchy>
    <cacheHierarchy uniqueName="[Measures].[Average of Total Spend (₦)]" caption="Average of Total Spend (₦)" measure="1" displayFolder="" measureGroup="Table1" count="0" oneField="1">
      <fieldsUsage count="1">
        <fieldUsage x="0"/>
      </fieldsUsage>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Table1" count="0">
      <extLst>
        <ext xmlns:x15="http://schemas.microsoft.com/office/spreadsheetml/2010/11/main" uri="{B97F6D7D-B522-45F9-BDA1-12C45D357490}">
          <x15:cacheHierarchy aggregatedColumn="0"/>
        </ext>
      </extLst>
    </cacheHierarchy>
    <cacheHierarchy uniqueName="[Measures].[Sum of Orders]" caption="Sum of Orders" measure="1" displayFolder="" measureGroup="Table1" count="0">
      <extLst>
        <ext xmlns:x15="http://schemas.microsoft.com/office/spreadsheetml/2010/11/main" uri="{B97F6D7D-B522-45F9-BDA1-12C45D357490}">
          <x15:cacheHierarchy aggregatedColumn="9"/>
        </ext>
      </extLst>
    </cacheHierarchy>
    <cacheHierarchy uniqueName="[Measures].[Count of Gender]" caption="Count of Gender" measure="1" displayFolder="" measureGroup="Table1" count="0">
      <extLst>
        <ext xmlns:x15="http://schemas.microsoft.com/office/spreadsheetml/2010/11/main" uri="{B97F6D7D-B522-45F9-BDA1-12C45D357490}">
          <x15:cacheHierarchy aggregatedColumn="2"/>
        </ext>
      </extLst>
    </cacheHierarchy>
    <cacheHierarchy uniqueName="[Measures].[Count of Customer Name]" caption="Count of Customer Name" measure="1" displayFolder="" measureGroup="Table1" count="0">
      <extLst>
        <ext xmlns:x15="http://schemas.microsoft.com/office/spreadsheetml/2010/11/main" uri="{B97F6D7D-B522-45F9-BDA1-12C45D357490}">
          <x15:cacheHierarchy aggregatedColumn="1"/>
        </ext>
      </extLst>
    </cacheHierarchy>
    <cacheHierarchy uniqueName="[Measures].[Count of Customer Segment]" caption="Count of Customer Segment" measure="1" displayFolder="" measureGroup="Table1" count="0">
      <extLst>
        <ext xmlns:x15="http://schemas.microsoft.com/office/spreadsheetml/2010/11/main" uri="{B97F6D7D-B522-45F9-BDA1-12C45D357490}">
          <x15:cacheHierarchy aggregatedColumn="6"/>
        </ext>
      </extLst>
    </cacheHierarchy>
    <cacheHierarchy uniqueName="[Measures].[Count of Acquisition Channel]" caption="Count of Acquisition Channel" measure="1" displayFolder="" measureGroup="Table1" count="0">
      <extLst>
        <ext xmlns:x15="http://schemas.microsoft.com/office/spreadsheetml/2010/11/main" uri="{B97F6D7D-B522-45F9-BDA1-12C45D357490}">
          <x15:cacheHierarchy aggregatedColumn="8"/>
        </ext>
      </extLst>
    </cacheHierarchy>
    <cacheHierarchy uniqueName="[Measures].[Count of Last Purchase Date]" caption="Count of Last Purchase Date" measure="1" displayFolder="" measureGroup="Table1" count="0">
      <extLst>
        <ext xmlns:x15="http://schemas.microsoft.com/office/spreadsheetml/2010/11/main" uri="{B97F6D7D-B522-45F9-BDA1-12C45D357490}">
          <x15:cacheHierarchy aggregatedColumn="11"/>
        </ext>
      </extLst>
    </cacheHierarchy>
    <cacheHierarchy uniqueName="[Measures].[Count of Month]" caption="Count of Month" measure="1" displayFolder="" measureGroup="Table1" count="0">
      <extLst>
        <ext xmlns:x15="http://schemas.microsoft.com/office/spreadsheetml/2010/11/main" uri="{B97F6D7D-B522-45F9-BDA1-12C45D357490}">
          <x15:cacheHierarchy aggregatedColumn="13"/>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HP" refreshedDate="46320.06936238426" backgroundQuery="1" createdVersion="5" refreshedVersion="5" minRefreshableVersion="3" recordCount="0" supportSubquery="1" supportAdvancedDrill="1">
  <cacheSource type="external" connectionId="1"/>
  <cacheFields count="1">
    <cacheField name="[Measures].[Sum of Total Spend (₦)]" caption="Sum of Total Spend (₦)" numFmtId="0" hierarchy="15" level="32767"/>
  </cacheFields>
  <cacheHierarchies count="27">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Customer Segment]" caption="Customer Segment" attribute="1" defaultMemberUniqueName="[Table1].[Customer Segment].[All]" allUniqueName="[Table1].[Customer Segment].[All]" dimensionUniqueName="[Table1]" displayFolder="" count="0" memberValueDatatype="130" unbalanced="0"/>
    <cacheHierarchy uniqueName="[Table1].[Preferred Category]" caption="Preferred Category" attribute="1" defaultMemberUniqueName="[Table1].[Preferred Category].[All]" allUniqueName="[Table1].[Preferred Category].[All]" dimensionUniqueName="[Table1]" displayFolder="" count="0" memberValueDatatype="130" unbalanced="0"/>
    <cacheHierarchy uniqueName="[Table1].[Acquisition Channel]" caption="Acquisition Channel" attribute="1" defaultMemberUniqueName="[Table1].[Acquisition Channel].[All]" allUniqueName="[Table1].[Acquisition Channel].[All]" dimensionUniqueName="[Table1]" displayFolder="" count="0" memberValueDatatype="130" unbalanced="0"/>
    <cacheHierarchy uniqueName="[Table1].[Orders]" caption="Orders" attribute="1" defaultMemberUniqueName="[Table1].[Orders].[All]" allUniqueName="[Table1].[Orders].[All]" dimensionUniqueName="[Table1]" displayFolder="" count="0" memberValueDatatype="20" unbalanced="0"/>
    <cacheHierarchy uniqueName="[Table1].[Total Spend (₦)]" caption="Total Spend (₦)" attribute="1" defaultMemberUniqueName="[Table1].[Total Spend (₦)].[All]" allUniqueName="[Table1].[Total Spend (₦)].[All]" dimensionUniqueName="[Table1]" displayFolder="" count="0" memberValueDatatype="20" unbalanced="0"/>
    <cacheHierarchy uniqueName="[Table1].[Last Purchase Date]" caption="Last Purchase Date" attribute="1" time="1" defaultMemberUniqueName="[Table1].[Last Purchase Date].[All]" allUniqueName="[Table1].[Last Purchase Date].[All]" dimensionUniqueName="[Table1]" displayFolder="" count="0" memberValueDatatype="7"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Month Number]" caption="Month Number" attribute="1" defaultMemberUniqueName="[Table1].[Month Number].[All]" allUniqueName="[Table1].[Month Number].[All]" dimensionUniqueName="[Table1]" displayFolder="" count="0" memberValueDatatype="20" unbalanced="0"/>
    <cacheHierarchy uniqueName="[Measures].[Sum of Total Spend (₦)]" caption="Sum of Total Spend (₦)" measure="1" displayFolder="" measureGroup="Table1" count="0" oneField="1">
      <fieldsUsage count="1">
        <fieldUsage x="0"/>
      </fieldsUsage>
      <extLst>
        <ext xmlns:x15="http://schemas.microsoft.com/office/spreadsheetml/2010/11/main" uri="{B97F6D7D-B522-45F9-BDA1-12C45D357490}">
          <x15:cacheHierarchy aggregatedColumn="10"/>
        </ext>
      </extLst>
    </cacheHierarchy>
    <cacheHierarchy uniqueName="[Measures].[Average of Total Spend (₦)]" caption="Average of Total Spend (₦)" measure="1" displayFolder="" measureGroup="Table1" count="0">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Table1" count="0">
      <extLst>
        <ext xmlns:x15="http://schemas.microsoft.com/office/spreadsheetml/2010/11/main" uri="{B97F6D7D-B522-45F9-BDA1-12C45D357490}">
          <x15:cacheHierarchy aggregatedColumn="0"/>
        </ext>
      </extLst>
    </cacheHierarchy>
    <cacheHierarchy uniqueName="[Measures].[Sum of Orders]" caption="Sum of Orders" measure="1" displayFolder="" measureGroup="Table1" count="0">
      <extLst>
        <ext xmlns:x15="http://schemas.microsoft.com/office/spreadsheetml/2010/11/main" uri="{B97F6D7D-B522-45F9-BDA1-12C45D357490}">
          <x15:cacheHierarchy aggregatedColumn="9"/>
        </ext>
      </extLst>
    </cacheHierarchy>
    <cacheHierarchy uniqueName="[Measures].[Count of Gender]" caption="Count of Gender" measure="1" displayFolder="" measureGroup="Table1" count="0">
      <extLst>
        <ext xmlns:x15="http://schemas.microsoft.com/office/spreadsheetml/2010/11/main" uri="{B97F6D7D-B522-45F9-BDA1-12C45D357490}">
          <x15:cacheHierarchy aggregatedColumn="2"/>
        </ext>
      </extLst>
    </cacheHierarchy>
    <cacheHierarchy uniqueName="[Measures].[Count of Customer Name]" caption="Count of Customer Name" measure="1" displayFolder="" measureGroup="Table1" count="0">
      <extLst>
        <ext xmlns:x15="http://schemas.microsoft.com/office/spreadsheetml/2010/11/main" uri="{B97F6D7D-B522-45F9-BDA1-12C45D357490}">
          <x15:cacheHierarchy aggregatedColumn="1"/>
        </ext>
      </extLst>
    </cacheHierarchy>
    <cacheHierarchy uniqueName="[Measures].[Count of Customer Segment]" caption="Count of Customer Segment" measure="1" displayFolder="" measureGroup="Table1" count="0">
      <extLst>
        <ext xmlns:x15="http://schemas.microsoft.com/office/spreadsheetml/2010/11/main" uri="{B97F6D7D-B522-45F9-BDA1-12C45D357490}">
          <x15:cacheHierarchy aggregatedColumn="6"/>
        </ext>
      </extLst>
    </cacheHierarchy>
    <cacheHierarchy uniqueName="[Measures].[Count of Acquisition Channel]" caption="Count of Acquisition Channel" measure="1" displayFolder="" measureGroup="Table1" count="0">
      <extLst>
        <ext xmlns:x15="http://schemas.microsoft.com/office/spreadsheetml/2010/11/main" uri="{B97F6D7D-B522-45F9-BDA1-12C45D357490}">
          <x15:cacheHierarchy aggregatedColumn="8"/>
        </ext>
      </extLst>
    </cacheHierarchy>
    <cacheHierarchy uniqueName="[Measures].[Count of Last Purchase Date]" caption="Count of Last Purchase Date" measure="1" displayFolder="" measureGroup="Table1" count="0">
      <extLst>
        <ext xmlns:x15="http://schemas.microsoft.com/office/spreadsheetml/2010/11/main" uri="{B97F6D7D-B522-45F9-BDA1-12C45D357490}">
          <x15:cacheHierarchy aggregatedColumn="11"/>
        </ext>
      </extLst>
    </cacheHierarchy>
    <cacheHierarchy uniqueName="[Measures].[Count of Month]" caption="Count of Month" measure="1" displayFolder="" measureGroup="Table1" count="0">
      <extLst>
        <ext xmlns:x15="http://schemas.microsoft.com/office/spreadsheetml/2010/11/main" uri="{B97F6D7D-B522-45F9-BDA1-12C45D357490}">
          <x15:cacheHierarchy aggregatedColumn="13"/>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HP" refreshedDate="46320.114391319446" backgroundQuery="1" createdVersion="5" refreshedVersion="5" minRefreshableVersion="3" recordCount="0" supportSubquery="1" supportAdvancedDrill="1">
  <cacheSource type="external" connectionId="1"/>
  <cacheFields count="1">
    <cacheField name="[Table1].[Month].[Month]" caption="Month" numFmtId="0" hierarchy="13" level="1">
      <sharedItems count="12">
        <s v="April"/>
        <s v="August"/>
        <s v="December"/>
        <s v="February"/>
        <s v="January"/>
        <s v="July"/>
        <s v="June"/>
        <s v="March"/>
        <s v="May"/>
        <s v="November"/>
        <s v="October"/>
        <s v="September"/>
      </sharedItems>
    </cacheField>
  </cacheFields>
  <cacheHierarchies count="27">
    <cacheHierarchy uniqueName="[Table1].[Customer ID]" caption="Customer ID" attribute="1" defaultMemberUniqueName="[Table1].[Customer ID].[All]" allUniqueName="[Table1].[Customer ID].[All]" dimensionUniqueName="[Table1]" displayFolder="" count="2"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Customer Segment]" caption="Customer Segment" attribute="1" defaultMemberUniqueName="[Table1].[Customer Segment].[All]" allUniqueName="[Table1].[Customer Segment].[All]" dimensionUniqueName="[Table1]" displayFolder="" count="0" memberValueDatatype="130" unbalanced="0"/>
    <cacheHierarchy uniqueName="[Table1].[Preferred Category]" caption="Preferred Category" attribute="1" defaultMemberUniqueName="[Table1].[Preferred Category].[All]" allUniqueName="[Table1].[Preferred Category].[All]" dimensionUniqueName="[Table1]" displayFolder="" count="0" memberValueDatatype="130" unbalanced="0"/>
    <cacheHierarchy uniqueName="[Table1].[Acquisition Channel]" caption="Acquisition Channel" attribute="1" defaultMemberUniqueName="[Table1].[Acquisition Channel].[All]" allUniqueName="[Table1].[Acquisition Channel].[All]" dimensionUniqueName="[Table1]" displayFolder="" count="0" memberValueDatatype="130" unbalanced="0"/>
    <cacheHierarchy uniqueName="[Table1].[Orders]" caption="Orders" attribute="1" defaultMemberUniqueName="[Table1].[Orders].[All]" allUniqueName="[Table1].[Orders].[All]" dimensionUniqueName="[Table1]" displayFolder="" count="0" memberValueDatatype="20" unbalanced="0"/>
    <cacheHierarchy uniqueName="[Table1].[Total Spend (₦)]" caption="Total Spend (₦)" attribute="1" defaultMemberUniqueName="[Table1].[Total Spend (₦)].[All]" allUniqueName="[Table1].[Total Spend (₦)].[All]" dimensionUniqueName="[Table1]" displayFolder="" count="0" memberValueDatatype="20" unbalanced="0"/>
    <cacheHierarchy uniqueName="[Table1].[Last Purchase Date]" caption="Last Purchase Date" attribute="1" time="1" defaultMemberUniqueName="[Table1].[Last Purchase Date].[All]" allUniqueName="[Table1].[Last Purchase Date].[All]" dimensionUniqueName="[Table1]" displayFolder="" count="2" memberValueDatatype="7" unbalanced="0"/>
    <cacheHierarchy uniqueName="[Table1].[Year]" caption="Year" attribute="1" defaultMemberUniqueName="[Table1].[Year].[All]" allUniqueName="[Table1].[Year].[All]" dimensionUniqueName="[Table1]" displayFolder="" count="2" memberValueDatatype="20" unbalanced="0"/>
    <cacheHierarchy uniqueName="[Table1].[Month]" caption="Month" attribute="1" defaultMemberUniqueName="[Table1].[Month].[All]" allUniqueName="[Table1].[Month].[All]" dimensionUniqueName="[Table1]" displayFolder="" count="2" memberValueDatatype="130" unbalanced="0">
      <fieldsUsage count="2">
        <fieldUsage x="-1"/>
        <fieldUsage x="0"/>
      </fieldsUsage>
    </cacheHierarchy>
    <cacheHierarchy uniqueName="[Table1].[Month Number]" caption="Month Number" attribute="1" defaultMemberUniqueName="[Table1].[Month Number].[All]" allUniqueName="[Table1].[Month Number].[All]" dimensionUniqueName="[Table1]" displayFolder="" count="0" memberValueDatatype="20" unbalanced="0"/>
    <cacheHierarchy uniqueName="[Measures].[Sum of Total Spend (₦)]" caption="Sum of Total Spend (₦)" measure="1" displayFolder="" measureGroup="Table1" count="0">
      <extLst>
        <ext xmlns:x15="http://schemas.microsoft.com/office/spreadsheetml/2010/11/main" uri="{B97F6D7D-B522-45F9-BDA1-12C45D357490}">
          <x15:cacheHierarchy aggregatedColumn="10"/>
        </ext>
      </extLst>
    </cacheHierarchy>
    <cacheHierarchy uniqueName="[Measures].[Average of Total Spend (₦)]" caption="Average of Total Spend (₦)" measure="1" displayFolder="" measureGroup="Table1" count="0">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Table1" count="0">
      <extLst>
        <ext xmlns:x15="http://schemas.microsoft.com/office/spreadsheetml/2010/11/main" uri="{B97F6D7D-B522-45F9-BDA1-12C45D357490}">
          <x15:cacheHierarchy aggregatedColumn="0"/>
        </ext>
      </extLst>
    </cacheHierarchy>
    <cacheHierarchy uniqueName="[Measures].[Sum of Orders]" caption="Sum of Orders" measure="1" displayFolder="" measureGroup="Table1" count="0">
      <extLst>
        <ext xmlns:x15="http://schemas.microsoft.com/office/spreadsheetml/2010/11/main" uri="{B97F6D7D-B522-45F9-BDA1-12C45D357490}">
          <x15:cacheHierarchy aggregatedColumn="9"/>
        </ext>
      </extLst>
    </cacheHierarchy>
    <cacheHierarchy uniqueName="[Measures].[Count of Gender]" caption="Count of Gender" measure="1" displayFolder="" measureGroup="Table1" count="0">
      <extLst>
        <ext xmlns:x15="http://schemas.microsoft.com/office/spreadsheetml/2010/11/main" uri="{B97F6D7D-B522-45F9-BDA1-12C45D357490}">
          <x15:cacheHierarchy aggregatedColumn="2"/>
        </ext>
      </extLst>
    </cacheHierarchy>
    <cacheHierarchy uniqueName="[Measures].[Count of Customer Name]" caption="Count of Customer Name" measure="1" displayFolder="" measureGroup="Table1" count="0">
      <extLst>
        <ext xmlns:x15="http://schemas.microsoft.com/office/spreadsheetml/2010/11/main" uri="{B97F6D7D-B522-45F9-BDA1-12C45D357490}">
          <x15:cacheHierarchy aggregatedColumn="1"/>
        </ext>
      </extLst>
    </cacheHierarchy>
    <cacheHierarchy uniqueName="[Measures].[Count of Customer Segment]" caption="Count of Customer Segment" measure="1" displayFolder="" measureGroup="Table1" count="0">
      <extLst>
        <ext xmlns:x15="http://schemas.microsoft.com/office/spreadsheetml/2010/11/main" uri="{B97F6D7D-B522-45F9-BDA1-12C45D357490}">
          <x15:cacheHierarchy aggregatedColumn="6"/>
        </ext>
      </extLst>
    </cacheHierarchy>
    <cacheHierarchy uniqueName="[Measures].[Count of Acquisition Channel]" caption="Count of Acquisition Channel" measure="1" displayFolder="" measureGroup="Table1" count="0">
      <extLst>
        <ext xmlns:x15="http://schemas.microsoft.com/office/spreadsheetml/2010/11/main" uri="{B97F6D7D-B522-45F9-BDA1-12C45D357490}">
          <x15:cacheHierarchy aggregatedColumn="8"/>
        </ext>
      </extLst>
    </cacheHierarchy>
    <cacheHierarchy uniqueName="[Measures].[Count of Last Purchase Date]" caption="Count of Last Purchase Date" measure="1" displayFolder="" measureGroup="Table1" count="0">
      <extLst>
        <ext xmlns:x15="http://schemas.microsoft.com/office/spreadsheetml/2010/11/main" uri="{B97F6D7D-B522-45F9-BDA1-12C45D357490}">
          <x15:cacheHierarchy aggregatedColumn="11"/>
        </ext>
      </extLst>
    </cacheHierarchy>
    <cacheHierarchy uniqueName="[Measures].[Count of Month]" caption="Count of Month" measure="1" displayFolder="" measureGroup="Table1" count="0">
      <extLst>
        <ext xmlns:x15="http://schemas.microsoft.com/office/spreadsheetml/2010/11/main" uri="{B97F6D7D-B522-45F9-BDA1-12C45D357490}">
          <x15:cacheHierarchy aggregatedColumn="13"/>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HP" refreshedDate="46320.3857943287" backgroundQuery="1" createdVersion="5" refreshedVersion="5" minRefreshableVersion="3" recordCount="0" supportSubquery="1" supportAdvancedDrill="1">
  <cacheSource type="external" connectionId="1"/>
  <cacheFields count="2">
    <cacheField name="[Table1].[Customer Name].[Customer Name]" caption="Customer Name" numFmtId="0" hierarchy="1" level="1">
      <sharedItems count="10">
        <s v="Abisola Adeyemi"/>
        <s v="Adesewa Nnamani"/>
        <s v="Emmanuella Peter"/>
        <s v="Henry Okafor"/>
        <s v="Miriam James"/>
        <s v="Modupe Peter"/>
        <s v="Patience Obi"/>
        <s v="Rachel Peter"/>
        <s v="Ronke Okafor"/>
        <s v="Victoria Okoro"/>
      </sharedItems>
    </cacheField>
    <cacheField name="[Measures].[Sum of Total Spend (₦)]" caption="Sum of Total Spend (₦)" numFmtId="0" hierarchy="15" level="32767"/>
  </cacheFields>
  <cacheHierarchies count="27">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2" memberValueDatatype="130" unbalanced="0">
      <fieldsUsage count="2">
        <fieldUsage x="-1"/>
        <fieldUsage x="0"/>
      </fieldsUsage>
    </cacheHierarchy>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Customer Segment]" caption="Customer Segment" attribute="1" defaultMemberUniqueName="[Table1].[Customer Segment].[All]" allUniqueName="[Table1].[Customer Segment].[All]" dimensionUniqueName="[Table1]" displayFolder="" count="0" memberValueDatatype="130" unbalanced="0"/>
    <cacheHierarchy uniqueName="[Table1].[Preferred Category]" caption="Preferred Category" attribute="1" defaultMemberUniqueName="[Table1].[Preferred Category].[All]" allUniqueName="[Table1].[Preferred Category].[All]" dimensionUniqueName="[Table1]" displayFolder="" count="0" memberValueDatatype="130" unbalanced="0"/>
    <cacheHierarchy uniqueName="[Table1].[Acquisition Channel]" caption="Acquisition Channel" attribute="1" defaultMemberUniqueName="[Table1].[Acquisition Channel].[All]" allUniqueName="[Table1].[Acquisition Channel].[All]" dimensionUniqueName="[Table1]" displayFolder="" count="0" memberValueDatatype="130" unbalanced="0"/>
    <cacheHierarchy uniqueName="[Table1].[Orders]" caption="Orders" attribute="1" defaultMemberUniqueName="[Table1].[Orders].[All]" allUniqueName="[Table1].[Orders].[All]" dimensionUniqueName="[Table1]" displayFolder="" count="0" memberValueDatatype="20" unbalanced="0"/>
    <cacheHierarchy uniqueName="[Table1].[Total Spend (₦)]" caption="Total Spend (₦)" attribute="1" defaultMemberUniqueName="[Table1].[Total Spend (₦)].[All]" allUniqueName="[Table1].[Total Spend (₦)].[All]" dimensionUniqueName="[Table1]" displayFolder="" count="0" memberValueDatatype="20" unbalanced="0"/>
    <cacheHierarchy uniqueName="[Table1].[Last Purchase Date]" caption="Last Purchase Date" attribute="1" time="1" defaultMemberUniqueName="[Table1].[Last Purchase Date].[All]" allUniqueName="[Table1].[Last Purchase Date].[All]" dimensionUniqueName="[Table1]" displayFolder="" count="0" memberValueDatatype="7"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Month Number]" caption="Month Number" attribute="1" defaultMemberUniqueName="[Table1].[Month Number].[All]" allUniqueName="[Table1].[Month Number].[All]" dimensionUniqueName="[Table1]" displayFolder="" count="0" memberValueDatatype="20" unbalanced="0"/>
    <cacheHierarchy uniqueName="[Measures].[Sum of Total Spend (₦)]" caption="Sum of Total Spend (₦)" measure="1" displayFolder="" measureGroup="Table1" count="0" oneField="1">
      <fieldsUsage count="1">
        <fieldUsage x="1"/>
      </fieldsUsage>
      <extLst>
        <ext xmlns:x15="http://schemas.microsoft.com/office/spreadsheetml/2010/11/main" uri="{B97F6D7D-B522-45F9-BDA1-12C45D357490}">
          <x15:cacheHierarchy aggregatedColumn="10"/>
        </ext>
      </extLst>
    </cacheHierarchy>
    <cacheHierarchy uniqueName="[Measures].[Average of Total Spend (₦)]" caption="Average of Total Spend (₦)" measure="1" displayFolder="" measureGroup="Table1" count="0">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Table1" count="0">
      <extLst>
        <ext xmlns:x15="http://schemas.microsoft.com/office/spreadsheetml/2010/11/main" uri="{B97F6D7D-B522-45F9-BDA1-12C45D357490}">
          <x15:cacheHierarchy aggregatedColumn="0"/>
        </ext>
      </extLst>
    </cacheHierarchy>
    <cacheHierarchy uniqueName="[Measures].[Sum of Orders]" caption="Sum of Orders" measure="1" displayFolder="" measureGroup="Table1" count="0">
      <extLst>
        <ext xmlns:x15="http://schemas.microsoft.com/office/spreadsheetml/2010/11/main" uri="{B97F6D7D-B522-45F9-BDA1-12C45D357490}">
          <x15:cacheHierarchy aggregatedColumn="9"/>
        </ext>
      </extLst>
    </cacheHierarchy>
    <cacheHierarchy uniqueName="[Measures].[Count of Gender]" caption="Count of Gender" measure="1" displayFolder="" measureGroup="Table1" count="0">
      <extLst>
        <ext xmlns:x15="http://schemas.microsoft.com/office/spreadsheetml/2010/11/main" uri="{B97F6D7D-B522-45F9-BDA1-12C45D357490}">
          <x15:cacheHierarchy aggregatedColumn="2"/>
        </ext>
      </extLst>
    </cacheHierarchy>
    <cacheHierarchy uniqueName="[Measures].[Count of Customer Name]" caption="Count of Customer Name" measure="1" displayFolder="" measureGroup="Table1" count="0">
      <extLst>
        <ext xmlns:x15="http://schemas.microsoft.com/office/spreadsheetml/2010/11/main" uri="{B97F6D7D-B522-45F9-BDA1-12C45D357490}">
          <x15:cacheHierarchy aggregatedColumn="1"/>
        </ext>
      </extLst>
    </cacheHierarchy>
    <cacheHierarchy uniqueName="[Measures].[Count of Customer Segment]" caption="Count of Customer Segment" measure="1" displayFolder="" measureGroup="Table1" count="0">
      <extLst>
        <ext xmlns:x15="http://schemas.microsoft.com/office/spreadsheetml/2010/11/main" uri="{B97F6D7D-B522-45F9-BDA1-12C45D357490}">
          <x15:cacheHierarchy aggregatedColumn="6"/>
        </ext>
      </extLst>
    </cacheHierarchy>
    <cacheHierarchy uniqueName="[Measures].[Count of Acquisition Channel]" caption="Count of Acquisition Channel" measure="1" displayFolder="" measureGroup="Table1" count="0">
      <extLst>
        <ext xmlns:x15="http://schemas.microsoft.com/office/spreadsheetml/2010/11/main" uri="{B97F6D7D-B522-45F9-BDA1-12C45D357490}">
          <x15:cacheHierarchy aggregatedColumn="8"/>
        </ext>
      </extLst>
    </cacheHierarchy>
    <cacheHierarchy uniqueName="[Measures].[Count of Last Purchase Date]" caption="Count of Last Purchase Date" measure="1" displayFolder="" measureGroup="Table1" count="0">
      <extLst>
        <ext xmlns:x15="http://schemas.microsoft.com/office/spreadsheetml/2010/11/main" uri="{B97F6D7D-B522-45F9-BDA1-12C45D357490}">
          <x15:cacheHierarchy aggregatedColumn="11"/>
        </ext>
      </extLst>
    </cacheHierarchy>
    <cacheHierarchy uniqueName="[Measures].[Count of Month]" caption="Count of Month" measure="1" displayFolder="" measureGroup="Table1" count="0">
      <extLst>
        <ext xmlns:x15="http://schemas.microsoft.com/office/spreadsheetml/2010/11/main" uri="{B97F6D7D-B522-45F9-BDA1-12C45D357490}">
          <x15:cacheHierarchy aggregatedColumn="13"/>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HP" refreshedDate="46320.393159027779" backgroundQuery="1" createdVersion="5" refreshedVersion="5" minRefreshableVersion="3" recordCount="0" supportSubquery="1" supportAdvancedDrill="1">
  <cacheSource type="external" connectionId="1"/>
  <cacheFields count="3">
    <cacheField name="[Table1].[Month].[Month]" caption="Month" numFmtId="0" hierarchy="13" level="1">
      <sharedItems count="12">
        <s v="April"/>
        <s v="August"/>
        <s v="December"/>
        <s v="February"/>
        <s v="January"/>
        <s v="July"/>
        <s v="June"/>
        <s v="March"/>
        <s v="May"/>
        <s v="November"/>
        <s v="October"/>
        <s v="September"/>
      </sharedItems>
    </cacheField>
    <cacheField name="[Table1].[Acquisition Channel].[Acquisition Channel]" caption="Acquisition Channel" numFmtId="0" hierarchy="8" level="1">
      <sharedItems count="5">
        <s v="Instagram"/>
        <s v="Referral"/>
        <s v="Walk-in"/>
        <s v="Website"/>
        <s v="WhatsApp"/>
      </sharedItems>
    </cacheField>
    <cacheField name="[Measures].[Sum of Total Spend (₦)]" caption="Sum of Total Spend (₦)" numFmtId="0" hierarchy="15" level="32767"/>
  </cacheFields>
  <cacheHierarchies count="27">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Customer Segment]" caption="Customer Segment" attribute="1" defaultMemberUniqueName="[Table1].[Customer Segment].[All]" allUniqueName="[Table1].[Customer Segment].[All]" dimensionUniqueName="[Table1]" displayFolder="" count="0" memberValueDatatype="130" unbalanced="0"/>
    <cacheHierarchy uniqueName="[Table1].[Preferred Category]" caption="Preferred Category" attribute="1" defaultMemberUniqueName="[Table1].[Preferred Category].[All]" allUniqueName="[Table1].[Preferred Category].[All]" dimensionUniqueName="[Table1]" displayFolder="" count="0" memberValueDatatype="130" unbalanced="0"/>
    <cacheHierarchy uniqueName="[Table1].[Acquisition Channel]" caption="Acquisition Channel" attribute="1" defaultMemberUniqueName="[Table1].[Acquisition Channel].[All]" allUniqueName="[Table1].[Acquisition Channel].[All]" dimensionUniqueName="[Table1]" displayFolder="" count="2" memberValueDatatype="130" unbalanced="0">
      <fieldsUsage count="2">
        <fieldUsage x="-1"/>
        <fieldUsage x="1"/>
      </fieldsUsage>
    </cacheHierarchy>
    <cacheHierarchy uniqueName="[Table1].[Orders]" caption="Orders" attribute="1" defaultMemberUniqueName="[Table1].[Orders].[All]" allUniqueName="[Table1].[Orders].[All]" dimensionUniqueName="[Table1]" displayFolder="" count="0" memberValueDatatype="20" unbalanced="0"/>
    <cacheHierarchy uniqueName="[Table1].[Total Spend (₦)]" caption="Total Spend (₦)" attribute="1" defaultMemberUniqueName="[Table1].[Total Spend (₦)].[All]" allUniqueName="[Table1].[Total Spend (₦)].[All]" dimensionUniqueName="[Table1]" displayFolder="" count="0" memberValueDatatype="20" unbalanced="0"/>
    <cacheHierarchy uniqueName="[Table1].[Last Purchase Date]" caption="Last Purchase Date" attribute="1" time="1" defaultMemberUniqueName="[Table1].[Last Purchase Date].[All]" allUniqueName="[Table1].[Last Purchase Date].[All]" dimensionUniqueName="[Table1]" displayFolder="" count="0" memberValueDatatype="7"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2" memberValueDatatype="130" unbalanced="0">
      <fieldsUsage count="2">
        <fieldUsage x="-1"/>
        <fieldUsage x="0"/>
      </fieldsUsage>
    </cacheHierarchy>
    <cacheHierarchy uniqueName="[Table1].[Month Number]" caption="Month Number" attribute="1" defaultMemberUniqueName="[Table1].[Month Number].[All]" allUniqueName="[Table1].[Month Number].[All]" dimensionUniqueName="[Table1]" displayFolder="" count="0" memberValueDatatype="20" unbalanced="0"/>
    <cacheHierarchy uniqueName="[Measures].[Sum of Total Spend (₦)]" caption="Sum of Total Spend (₦)" measure="1" displayFolder="" measureGroup="Table1" count="0" oneField="1">
      <fieldsUsage count="1">
        <fieldUsage x="2"/>
      </fieldsUsage>
      <extLst>
        <ext xmlns:x15="http://schemas.microsoft.com/office/spreadsheetml/2010/11/main" uri="{B97F6D7D-B522-45F9-BDA1-12C45D357490}">
          <x15:cacheHierarchy aggregatedColumn="10"/>
        </ext>
      </extLst>
    </cacheHierarchy>
    <cacheHierarchy uniqueName="[Measures].[Average of Total Spend (₦)]" caption="Average of Total Spend (₦)" measure="1" displayFolder="" measureGroup="Table1" count="0">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Table1" count="0">
      <extLst>
        <ext xmlns:x15="http://schemas.microsoft.com/office/spreadsheetml/2010/11/main" uri="{B97F6D7D-B522-45F9-BDA1-12C45D357490}">
          <x15:cacheHierarchy aggregatedColumn="0"/>
        </ext>
      </extLst>
    </cacheHierarchy>
    <cacheHierarchy uniqueName="[Measures].[Sum of Orders]" caption="Sum of Orders" measure="1" displayFolder="" measureGroup="Table1" count="0">
      <extLst>
        <ext xmlns:x15="http://schemas.microsoft.com/office/spreadsheetml/2010/11/main" uri="{B97F6D7D-B522-45F9-BDA1-12C45D357490}">
          <x15:cacheHierarchy aggregatedColumn="9"/>
        </ext>
      </extLst>
    </cacheHierarchy>
    <cacheHierarchy uniqueName="[Measures].[Count of Gender]" caption="Count of Gender" measure="1" displayFolder="" measureGroup="Table1" count="0">
      <extLst>
        <ext xmlns:x15="http://schemas.microsoft.com/office/spreadsheetml/2010/11/main" uri="{B97F6D7D-B522-45F9-BDA1-12C45D357490}">
          <x15:cacheHierarchy aggregatedColumn="2"/>
        </ext>
      </extLst>
    </cacheHierarchy>
    <cacheHierarchy uniqueName="[Measures].[Count of Customer Name]" caption="Count of Customer Name" measure="1" displayFolder="" measureGroup="Table1" count="0">
      <extLst>
        <ext xmlns:x15="http://schemas.microsoft.com/office/spreadsheetml/2010/11/main" uri="{B97F6D7D-B522-45F9-BDA1-12C45D357490}">
          <x15:cacheHierarchy aggregatedColumn="1"/>
        </ext>
      </extLst>
    </cacheHierarchy>
    <cacheHierarchy uniqueName="[Measures].[Count of Customer Segment]" caption="Count of Customer Segment" measure="1" displayFolder="" measureGroup="Table1" count="0">
      <extLst>
        <ext xmlns:x15="http://schemas.microsoft.com/office/spreadsheetml/2010/11/main" uri="{B97F6D7D-B522-45F9-BDA1-12C45D357490}">
          <x15:cacheHierarchy aggregatedColumn="6"/>
        </ext>
      </extLst>
    </cacheHierarchy>
    <cacheHierarchy uniqueName="[Measures].[Count of Acquisition Channel]" caption="Count of Acquisition Channel" measure="1" displayFolder="" measureGroup="Table1" count="0">
      <extLst>
        <ext xmlns:x15="http://schemas.microsoft.com/office/spreadsheetml/2010/11/main" uri="{B97F6D7D-B522-45F9-BDA1-12C45D357490}">
          <x15:cacheHierarchy aggregatedColumn="8"/>
        </ext>
      </extLst>
    </cacheHierarchy>
    <cacheHierarchy uniqueName="[Measures].[Count of Last Purchase Date]" caption="Count of Last Purchase Date" measure="1" displayFolder="" measureGroup="Table1" count="0">
      <extLst>
        <ext xmlns:x15="http://schemas.microsoft.com/office/spreadsheetml/2010/11/main" uri="{B97F6D7D-B522-45F9-BDA1-12C45D357490}">
          <x15:cacheHierarchy aggregatedColumn="11"/>
        </ext>
      </extLst>
    </cacheHierarchy>
    <cacheHierarchy uniqueName="[Measures].[Count of Month]" caption="Count of Month" measure="1" displayFolder="" measureGroup="Table1" count="0">
      <extLst>
        <ext xmlns:x15="http://schemas.microsoft.com/office/spreadsheetml/2010/11/main" uri="{B97F6D7D-B522-45F9-BDA1-12C45D357490}">
          <x15:cacheHierarchy aggregatedColumn="13"/>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HP" refreshedDate="46320.393186111112" backgroundQuery="1" createdVersion="5" refreshedVersion="5" minRefreshableVersion="3" recordCount="0" supportSubquery="1" supportAdvancedDrill="1">
  <cacheSource type="external" connectionId="1"/>
  <cacheFields count="4">
    <cacheField name="[Table1].[Month].[Month]" caption="Month" numFmtId="0" hierarchy="13" level="1">
      <sharedItems count="12">
        <s v="April"/>
        <s v="August"/>
        <s v="December"/>
        <s v="February"/>
        <s v="January"/>
        <s v="July"/>
        <s v="June"/>
        <s v="March"/>
        <s v="May"/>
        <s v="November"/>
        <s v="October"/>
        <s v="September"/>
      </sharedItems>
    </cacheField>
    <cacheField name="[Table1].[Acquisition Channel].[Acquisition Channel]" caption="Acquisition Channel" numFmtId="0" hierarchy="8" level="1">
      <sharedItems count="5">
        <s v="Instagram"/>
        <s v="Referral"/>
        <s v="Walk-in"/>
        <s v="Website"/>
        <s v="WhatsApp"/>
      </sharedItems>
    </cacheField>
    <cacheField name="[Measures].[Sum of Total Spend (₦)]" caption="Sum of Total Spend (₦)" numFmtId="0" hierarchy="15" level="32767"/>
    <cacheField name="[Table1].[Location].[Location]" caption="Location" numFmtId="0" hierarchy="5" level="1">
      <sharedItems count="8">
        <s v="Abuja"/>
        <s v="Benin City"/>
        <s v="Calabar"/>
        <s v="Enugu"/>
        <s v="Ibadan"/>
        <s v="Lagos"/>
        <s v="Owerri"/>
        <s v="Port Harcourt"/>
      </sharedItems>
    </cacheField>
  </cacheFields>
  <cacheHierarchies count="27">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Location]" caption="Location" attribute="1" defaultMemberUniqueName="[Table1].[Location].[All]" allUniqueName="[Table1].[Location].[All]" dimensionUniqueName="[Table1]" displayFolder="" count="2" memberValueDatatype="130" unbalanced="0">
      <fieldsUsage count="2">
        <fieldUsage x="-1"/>
        <fieldUsage x="3"/>
      </fieldsUsage>
    </cacheHierarchy>
    <cacheHierarchy uniqueName="[Table1].[Customer Segment]" caption="Customer Segment" attribute="1" defaultMemberUniqueName="[Table1].[Customer Segment].[All]" allUniqueName="[Table1].[Customer Segment].[All]" dimensionUniqueName="[Table1]" displayFolder="" count="0" memberValueDatatype="130" unbalanced="0"/>
    <cacheHierarchy uniqueName="[Table1].[Preferred Category]" caption="Preferred Category" attribute="1" defaultMemberUniqueName="[Table1].[Preferred Category].[All]" allUniqueName="[Table1].[Preferred Category].[All]" dimensionUniqueName="[Table1]" displayFolder="" count="0" memberValueDatatype="130" unbalanced="0"/>
    <cacheHierarchy uniqueName="[Table1].[Acquisition Channel]" caption="Acquisition Channel" attribute="1" defaultMemberUniqueName="[Table1].[Acquisition Channel].[All]" allUniqueName="[Table1].[Acquisition Channel].[All]" dimensionUniqueName="[Table1]" displayFolder="" count="2" memberValueDatatype="130" unbalanced="0">
      <fieldsUsage count="2">
        <fieldUsage x="-1"/>
        <fieldUsage x="1"/>
      </fieldsUsage>
    </cacheHierarchy>
    <cacheHierarchy uniqueName="[Table1].[Orders]" caption="Orders" attribute="1" defaultMemberUniqueName="[Table1].[Orders].[All]" allUniqueName="[Table1].[Orders].[All]" dimensionUniqueName="[Table1]" displayFolder="" count="0" memberValueDatatype="20" unbalanced="0"/>
    <cacheHierarchy uniqueName="[Table1].[Total Spend (₦)]" caption="Total Spend (₦)" attribute="1" defaultMemberUniqueName="[Table1].[Total Spend (₦)].[All]" allUniqueName="[Table1].[Total Spend (₦)].[All]" dimensionUniqueName="[Table1]" displayFolder="" count="0" memberValueDatatype="20" unbalanced="0"/>
    <cacheHierarchy uniqueName="[Table1].[Last Purchase Date]" caption="Last Purchase Date" attribute="1" time="1" defaultMemberUniqueName="[Table1].[Last Purchase Date].[All]" allUniqueName="[Table1].[Last Purchase Date].[All]" dimensionUniqueName="[Table1]" displayFolder="" count="0" memberValueDatatype="7"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2" memberValueDatatype="130" unbalanced="0">
      <fieldsUsage count="2">
        <fieldUsage x="-1"/>
        <fieldUsage x="0"/>
      </fieldsUsage>
    </cacheHierarchy>
    <cacheHierarchy uniqueName="[Table1].[Month Number]" caption="Month Number" attribute="1" defaultMemberUniqueName="[Table1].[Month Number].[All]" allUniqueName="[Table1].[Month Number].[All]" dimensionUniqueName="[Table1]" displayFolder="" count="0" memberValueDatatype="20" unbalanced="0"/>
    <cacheHierarchy uniqueName="[Measures].[Sum of Total Spend (₦)]" caption="Sum of Total Spend (₦)" measure="1" displayFolder="" measureGroup="Table1" count="0" oneField="1">
      <fieldsUsage count="1">
        <fieldUsage x="2"/>
      </fieldsUsage>
      <extLst>
        <ext xmlns:x15="http://schemas.microsoft.com/office/spreadsheetml/2010/11/main" uri="{B97F6D7D-B522-45F9-BDA1-12C45D357490}">
          <x15:cacheHierarchy aggregatedColumn="10"/>
        </ext>
      </extLst>
    </cacheHierarchy>
    <cacheHierarchy uniqueName="[Measures].[Average of Total Spend (₦)]" caption="Average of Total Spend (₦)" measure="1" displayFolder="" measureGroup="Table1" count="0">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Table1" count="0">
      <extLst>
        <ext xmlns:x15="http://schemas.microsoft.com/office/spreadsheetml/2010/11/main" uri="{B97F6D7D-B522-45F9-BDA1-12C45D357490}">
          <x15:cacheHierarchy aggregatedColumn="0"/>
        </ext>
      </extLst>
    </cacheHierarchy>
    <cacheHierarchy uniqueName="[Measures].[Sum of Orders]" caption="Sum of Orders" measure="1" displayFolder="" measureGroup="Table1" count="0">
      <extLst>
        <ext xmlns:x15="http://schemas.microsoft.com/office/spreadsheetml/2010/11/main" uri="{B97F6D7D-B522-45F9-BDA1-12C45D357490}">
          <x15:cacheHierarchy aggregatedColumn="9"/>
        </ext>
      </extLst>
    </cacheHierarchy>
    <cacheHierarchy uniqueName="[Measures].[Count of Gender]" caption="Count of Gender" measure="1" displayFolder="" measureGroup="Table1" count="0">
      <extLst>
        <ext xmlns:x15="http://schemas.microsoft.com/office/spreadsheetml/2010/11/main" uri="{B97F6D7D-B522-45F9-BDA1-12C45D357490}">
          <x15:cacheHierarchy aggregatedColumn="2"/>
        </ext>
      </extLst>
    </cacheHierarchy>
    <cacheHierarchy uniqueName="[Measures].[Count of Customer Name]" caption="Count of Customer Name" measure="1" displayFolder="" measureGroup="Table1" count="0">
      <extLst>
        <ext xmlns:x15="http://schemas.microsoft.com/office/spreadsheetml/2010/11/main" uri="{B97F6D7D-B522-45F9-BDA1-12C45D357490}">
          <x15:cacheHierarchy aggregatedColumn="1"/>
        </ext>
      </extLst>
    </cacheHierarchy>
    <cacheHierarchy uniqueName="[Measures].[Count of Customer Segment]" caption="Count of Customer Segment" measure="1" displayFolder="" measureGroup="Table1" count="0">
      <extLst>
        <ext xmlns:x15="http://schemas.microsoft.com/office/spreadsheetml/2010/11/main" uri="{B97F6D7D-B522-45F9-BDA1-12C45D357490}">
          <x15:cacheHierarchy aggregatedColumn="6"/>
        </ext>
      </extLst>
    </cacheHierarchy>
    <cacheHierarchy uniqueName="[Measures].[Count of Acquisition Channel]" caption="Count of Acquisition Channel" measure="1" displayFolder="" measureGroup="Table1" count="0">
      <extLst>
        <ext xmlns:x15="http://schemas.microsoft.com/office/spreadsheetml/2010/11/main" uri="{B97F6D7D-B522-45F9-BDA1-12C45D357490}">
          <x15:cacheHierarchy aggregatedColumn="8"/>
        </ext>
      </extLst>
    </cacheHierarchy>
    <cacheHierarchy uniqueName="[Measures].[Count of Last Purchase Date]" caption="Count of Last Purchase Date" measure="1" displayFolder="" measureGroup="Table1" count="0">
      <extLst>
        <ext xmlns:x15="http://schemas.microsoft.com/office/spreadsheetml/2010/11/main" uri="{B97F6D7D-B522-45F9-BDA1-12C45D357490}">
          <x15:cacheHierarchy aggregatedColumn="11"/>
        </ext>
      </extLst>
    </cacheHierarchy>
    <cacheHierarchy uniqueName="[Measures].[Count of Month]" caption="Count of Month" measure="1" displayFolder="" measureGroup="Table1" count="0">
      <extLst>
        <ext xmlns:x15="http://schemas.microsoft.com/office/spreadsheetml/2010/11/main" uri="{B97F6D7D-B522-45F9-BDA1-12C45D357490}">
          <x15:cacheHierarchy aggregatedColumn="13"/>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HP" refreshedDate="46320.989198611111" backgroundQuery="1" createdVersion="5" refreshedVersion="5" minRefreshableVersion="3" recordCount="0" supportSubquery="1" supportAdvancedDrill="1">
  <cacheSource type="external" connectionId="1"/>
  <cacheFields count="3">
    <cacheField name="[Table1].[Month].[Month]" caption="Month" numFmtId="0" hierarchy="13" level="1">
      <sharedItems count="12">
        <s v="April"/>
        <s v="August"/>
        <s v="December"/>
        <s v="February"/>
        <s v="January"/>
        <s v="July"/>
        <s v="June"/>
        <s v="March"/>
        <s v="May"/>
        <s v="November"/>
        <s v="October"/>
        <s v="September"/>
      </sharedItems>
    </cacheField>
    <cacheField name="[Measures].[Sum of Total Spend (₦)]" caption="Sum of Total Spend (₦)" numFmtId="0" hierarchy="15" level="32767"/>
    <cacheField name="[Table1].[Year].[Year]" caption="Year" numFmtId="0" hierarchy="12" level="1">
      <sharedItems containsSemiMixedTypes="0" containsString="0" containsNumber="1" containsInteger="1" minValue="2025" maxValue="2026" count="2">
        <n v="2025"/>
        <n v="2026"/>
      </sharedItems>
      <extLst>
        <ext xmlns:x15="http://schemas.microsoft.com/office/spreadsheetml/2010/11/main" uri="{4F2E5C28-24EA-4eb8-9CBF-B6C8F9C3D259}">
          <x15:cachedUniqueNames>
            <x15:cachedUniqueName index="0" name="[Table1].[Year].&amp;[2025]"/>
            <x15:cachedUniqueName index="1" name="[Table1].[Year].&amp;[2026]"/>
          </x15:cachedUniqueNames>
        </ext>
      </extLst>
    </cacheField>
  </cacheFields>
  <cacheHierarchies count="27">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Customer Segment]" caption="Customer Segment" attribute="1" defaultMemberUniqueName="[Table1].[Customer Segment].[All]" allUniqueName="[Table1].[Customer Segment].[All]" dimensionUniqueName="[Table1]" displayFolder="" count="0" memberValueDatatype="130" unbalanced="0"/>
    <cacheHierarchy uniqueName="[Table1].[Preferred Category]" caption="Preferred Category" attribute="1" defaultMemberUniqueName="[Table1].[Preferred Category].[All]" allUniqueName="[Table1].[Preferred Category].[All]" dimensionUniqueName="[Table1]" displayFolder="" count="0" memberValueDatatype="130" unbalanced="0"/>
    <cacheHierarchy uniqueName="[Table1].[Acquisition Channel]" caption="Acquisition Channel" attribute="1" defaultMemberUniqueName="[Table1].[Acquisition Channel].[All]" allUniqueName="[Table1].[Acquisition Channel].[All]" dimensionUniqueName="[Table1]" displayFolder="" count="0" memberValueDatatype="130" unbalanced="0"/>
    <cacheHierarchy uniqueName="[Table1].[Orders]" caption="Orders" attribute="1" defaultMemberUniqueName="[Table1].[Orders].[All]" allUniqueName="[Table1].[Orders].[All]" dimensionUniqueName="[Table1]" displayFolder="" count="0" memberValueDatatype="20" unbalanced="0"/>
    <cacheHierarchy uniqueName="[Table1].[Total Spend (₦)]" caption="Total Spend (₦)" attribute="1" defaultMemberUniqueName="[Table1].[Total Spend (₦)].[All]" allUniqueName="[Table1].[Total Spend (₦)].[All]" dimensionUniqueName="[Table1]" displayFolder="" count="0" memberValueDatatype="20" unbalanced="0"/>
    <cacheHierarchy uniqueName="[Table1].[Last Purchase Date]" caption="Last Purchase Date" attribute="1" time="1" defaultMemberUniqueName="[Table1].[Last Purchase Date].[All]" allUniqueName="[Table1].[Last Purchase Date].[All]" dimensionUniqueName="[Table1]" displayFolder="" count="0" memberValueDatatype="7" unbalanced="0"/>
    <cacheHierarchy uniqueName="[Table1].[Year]" caption="Year" attribute="1" defaultMemberUniqueName="[Table1].[Year].[All]" allUniqueName="[Table1].[Year].[All]" dimensionUniqueName="[Table1]" displayFolder="" count="2" memberValueDatatype="20" unbalanced="0">
      <fieldsUsage count="2">
        <fieldUsage x="-1"/>
        <fieldUsage x="2"/>
      </fieldsUsage>
    </cacheHierarchy>
    <cacheHierarchy uniqueName="[Table1].[Month]" caption="Month" attribute="1" defaultMemberUniqueName="[Table1].[Month].[All]" allUniqueName="[Table1].[Month].[All]" dimensionUniqueName="[Table1]" displayFolder="" count="2" memberValueDatatype="130" unbalanced="0">
      <fieldsUsage count="2">
        <fieldUsage x="-1"/>
        <fieldUsage x="0"/>
      </fieldsUsage>
    </cacheHierarchy>
    <cacheHierarchy uniqueName="[Table1].[Month Number]" caption="Month Number" attribute="1" defaultMemberUniqueName="[Table1].[Month Number].[All]" allUniqueName="[Table1].[Month Number].[All]" dimensionUniqueName="[Table1]" displayFolder="" count="0" memberValueDatatype="20" unbalanced="0"/>
    <cacheHierarchy uniqueName="[Measures].[Sum of Total Spend (₦)]" caption="Sum of Total Spend (₦)" measure="1" displayFolder="" measureGroup="Table1" count="0" oneField="1">
      <fieldsUsage count="1">
        <fieldUsage x="1"/>
      </fieldsUsage>
      <extLst>
        <ext xmlns:x15="http://schemas.microsoft.com/office/spreadsheetml/2010/11/main" uri="{B97F6D7D-B522-45F9-BDA1-12C45D357490}">
          <x15:cacheHierarchy aggregatedColumn="10"/>
        </ext>
      </extLst>
    </cacheHierarchy>
    <cacheHierarchy uniqueName="[Measures].[Average of Total Spend (₦)]" caption="Average of Total Spend (₦)" measure="1" displayFolder="" measureGroup="Table1" count="0">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Table1" count="0">
      <extLst>
        <ext xmlns:x15="http://schemas.microsoft.com/office/spreadsheetml/2010/11/main" uri="{B97F6D7D-B522-45F9-BDA1-12C45D357490}">
          <x15:cacheHierarchy aggregatedColumn="0"/>
        </ext>
      </extLst>
    </cacheHierarchy>
    <cacheHierarchy uniqueName="[Measures].[Sum of Orders]" caption="Sum of Orders" measure="1" displayFolder="" measureGroup="Table1" count="0">
      <extLst>
        <ext xmlns:x15="http://schemas.microsoft.com/office/spreadsheetml/2010/11/main" uri="{B97F6D7D-B522-45F9-BDA1-12C45D357490}">
          <x15:cacheHierarchy aggregatedColumn="9"/>
        </ext>
      </extLst>
    </cacheHierarchy>
    <cacheHierarchy uniqueName="[Measures].[Count of Gender]" caption="Count of Gender" measure="1" displayFolder="" measureGroup="Table1" count="0">
      <extLst>
        <ext xmlns:x15="http://schemas.microsoft.com/office/spreadsheetml/2010/11/main" uri="{B97F6D7D-B522-45F9-BDA1-12C45D357490}">
          <x15:cacheHierarchy aggregatedColumn="2"/>
        </ext>
      </extLst>
    </cacheHierarchy>
    <cacheHierarchy uniqueName="[Measures].[Count of Customer Name]" caption="Count of Customer Name" measure="1" displayFolder="" measureGroup="Table1" count="0">
      <extLst>
        <ext xmlns:x15="http://schemas.microsoft.com/office/spreadsheetml/2010/11/main" uri="{B97F6D7D-B522-45F9-BDA1-12C45D357490}">
          <x15:cacheHierarchy aggregatedColumn="1"/>
        </ext>
      </extLst>
    </cacheHierarchy>
    <cacheHierarchy uniqueName="[Measures].[Count of Customer Segment]" caption="Count of Customer Segment" measure="1" displayFolder="" measureGroup="Table1" count="0">
      <extLst>
        <ext xmlns:x15="http://schemas.microsoft.com/office/spreadsheetml/2010/11/main" uri="{B97F6D7D-B522-45F9-BDA1-12C45D357490}">
          <x15:cacheHierarchy aggregatedColumn="6"/>
        </ext>
      </extLst>
    </cacheHierarchy>
    <cacheHierarchy uniqueName="[Measures].[Count of Acquisition Channel]" caption="Count of Acquisition Channel" measure="1" displayFolder="" measureGroup="Table1" count="0">
      <extLst>
        <ext xmlns:x15="http://schemas.microsoft.com/office/spreadsheetml/2010/11/main" uri="{B97F6D7D-B522-45F9-BDA1-12C45D357490}">
          <x15:cacheHierarchy aggregatedColumn="8"/>
        </ext>
      </extLst>
    </cacheHierarchy>
    <cacheHierarchy uniqueName="[Measures].[Count of Last Purchase Date]" caption="Count of Last Purchase Date" measure="1" displayFolder="" measureGroup="Table1" count="0">
      <extLst>
        <ext xmlns:x15="http://schemas.microsoft.com/office/spreadsheetml/2010/11/main" uri="{B97F6D7D-B522-45F9-BDA1-12C45D357490}">
          <x15:cacheHierarchy aggregatedColumn="11"/>
        </ext>
      </extLst>
    </cacheHierarchy>
    <cacheHierarchy uniqueName="[Measures].[Count of Month]" caption="Count of Month" measure="1" displayFolder="" measureGroup="Table1" count="0">
      <extLst>
        <ext xmlns:x15="http://schemas.microsoft.com/office/spreadsheetml/2010/11/main" uri="{B97F6D7D-B522-45F9-BDA1-12C45D357490}">
          <x15:cacheHierarchy aggregatedColumn="13"/>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HP" refreshedDate="46320.386343981481" backgroundQuery="1" createdVersion="3" refreshedVersion="5"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28">
    <cacheHierarchy uniqueName="[Measures]" caption="Measures" attribute="1" keyAttribute="1" defaultMemberUniqueName="[Measures].[__XL_Count of Models]" dimensionUniqueName="[Measures]" displayFolder="" measures="1" count="1" memberValueDatatype="130" unbalanced="0"/>
    <cacheHierarchy uniqueName="[Table1].[Customer ID]" caption="Customer ID" attribute="1" defaultMemberUniqueName="[Table1].[Customer ID].[All]" allUniqueName="[Table1].[Customer ID].[All]" dimensionUniqueName="[Table1]" displayFolder="" count="2" memberValueDatatype="130" unbalanced="0"/>
    <cacheHierarchy uniqueName="[Table1].[Customer Name]" caption="Customer Name" attribute="1" defaultMemberUniqueName="[Table1].[Customer Name].[All]" allUniqueName="[Table1].[Customer Name].[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ge]" caption="Age" attribute="1" defaultMemberUniqueName="[Table1].[Age].[All]" allUniqueName="[Table1].[Age].[All]" dimensionUniqueName="[Table1]" displayFolder="" count="2" memberValueDatatype="20" unbalanced="0"/>
    <cacheHierarchy uniqueName="[Table1].[Age Group]" caption="Age Group" attribute="1" defaultMemberUniqueName="[Table1].[Age Group].[All]" allUniqueName="[Table1].[Age Group].[All]" dimensionUniqueName="[Table1]" displayFolder="" count="2" memberValueDatatype="130" unbalanced="0"/>
    <cacheHierarchy uniqueName="[Table1].[Location]" caption="Location" attribute="1" defaultMemberUniqueName="[Table1].[Location].[All]" allUniqueName="[Table1].[Location].[All]" dimensionUniqueName="[Table1]" displayFolder="" count="2" memberValueDatatype="130" unbalanced="0"/>
    <cacheHierarchy uniqueName="[Table1].[Customer Segment]" caption="Customer Segment" attribute="1" defaultMemberUniqueName="[Table1].[Customer Segment].[All]" allUniqueName="[Table1].[Customer Segment].[All]" dimensionUniqueName="[Table1]" displayFolder="" count="2" memberValueDatatype="130" unbalanced="0"/>
    <cacheHierarchy uniqueName="[Table1].[Preferred Category]" caption="Preferred Category" attribute="1" defaultMemberUniqueName="[Table1].[Preferred Category].[All]" allUniqueName="[Table1].[Preferred Category].[All]" dimensionUniqueName="[Table1]" displayFolder="" count="2" memberValueDatatype="130" unbalanced="0"/>
    <cacheHierarchy uniqueName="[Table1].[Acquisition Channel]" caption="Acquisition Channel" attribute="1" defaultMemberUniqueName="[Table1].[Acquisition Channel].[All]" allUniqueName="[Table1].[Acquisition Channel].[All]" dimensionUniqueName="[Table1]" displayFolder="" count="2" memberValueDatatype="130" unbalanced="0"/>
    <cacheHierarchy uniqueName="[Table1].[Orders]" caption="Orders" attribute="1" defaultMemberUniqueName="[Table1].[Orders].[All]" allUniqueName="[Table1].[Orders].[All]" dimensionUniqueName="[Table1]" displayFolder="" count="2" memberValueDatatype="20" unbalanced="0"/>
    <cacheHierarchy uniqueName="[Table1].[Total Spend (₦)]" caption="Total Spend (₦)" attribute="1" defaultMemberUniqueName="[Table1].[Total Spend (₦)].[All]" allUniqueName="[Table1].[Total Spend (₦)].[All]" dimensionUniqueName="[Table1]" displayFolder="" count="2" memberValueDatatype="20" unbalanced="0"/>
    <cacheHierarchy uniqueName="[Table1].[Last Purchase Date]" caption="Last Purchase Date" attribute="1" time="1" defaultMemberUniqueName="[Table1].[Last Purchase Date].[All]" allUniqueName="[Table1].[Last Purchase Date].[All]" dimensionUniqueName="[Table1]" displayFolder="" count="2" memberValueDatatype="7" unbalanced="0"/>
    <cacheHierarchy uniqueName="[Table1].[Year]" caption="Year" attribute="1" defaultMemberUniqueName="[Table1].[Year].[All]" allUniqueName="[Table1].[Year].[All]" dimensionUniqueName="[Table1]" displayFolder="" count="2" memberValueDatatype="20" unbalanced="0"/>
    <cacheHierarchy uniqueName="[Table1].[Month]" caption="Month" attribute="1" defaultMemberUniqueName="[Table1].[Month].[All]" allUniqueName="[Table1].[Month].[All]" dimensionUniqueName="[Table1]" displayFolder="" count="2" memberValueDatatype="130" unbalanced="0"/>
    <cacheHierarchy uniqueName="[Table1].[Month Number]" caption="Month Number" attribute="1" defaultMemberUniqueName="[Table1].[Month Number].[All]" allUniqueName="[Table1].[Month Number].[All]" dimensionUniqueName="[Table1]" displayFolder="" count="2" memberValueDatatype="20" unbalanced="0"/>
    <cacheHierarchy uniqueName="[Measures].[Sum of Total Spend (₦)]" caption="Sum of Total Spend (₦)" measure="1" displayFolder="" measureGroup="Table1" count="0">
      <extLst>
        <ext xmlns:x15="http://schemas.microsoft.com/office/spreadsheetml/2010/11/main" uri="{B97F6D7D-B522-45F9-BDA1-12C45D357490}">
          <x15:cacheHierarchy aggregatedColumn="11"/>
        </ext>
      </extLst>
    </cacheHierarchy>
    <cacheHierarchy uniqueName="[Measures].[Average of Total Spend (₦)]" caption="Average of Total Spend (₦)" measure="1" displayFolder="" measureGroup="Table1" count="0">
      <extLst>
        <ext xmlns:x15="http://schemas.microsoft.com/office/spreadsheetml/2010/11/main" uri="{B97F6D7D-B522-45F9-BDA1-12C45D357490}">
          <x15:cacheHierarchy aggregatedColumn="11"/>
        </ext>
      </extLst>
    </cacheHierarchy>
    <cacheHierarchy uniqueName="[Measures].[Count of Customer ID]" caption="Count of Customer ID" measure="1" displayFolder="" measureGroup="Table1" count="0">
      <extLst>
        <ext xmlns:x15="http://schemas.microsoft.com/office/spreadsheetml/2010/11/main" uri="{B97F6D7D-B522-45F9-BDA1-12C45D357490}">
          <x15:cacheHierarchy aggregatedColumn="1"/>
        </ext>
      </extLst>
    </cacheHierarchy>
    <cacheHierarchy uniqueName="[Measures].[Sum of Orders]" caption="Sum of Orders" measure="1" displayFolder="" measureGroup="Table1" count="0">
      <extLst>
        <ext xmlns:x15="http://schemas.microsoft.com/office/spreadsheetml/2010/11/main" uri="{B97F6D7D-B522-45F9-BDA1-12C45D357490}">
          <x15:cacheHierarchy aggregatedColumn="10"/>
        </ext>
      </extLst>
    </cacheHierarchy>
    <cacheHierarchy uniqueName="[Measures].[Count of Gender]" caption="Count of Gender" measure="1" displayFolder="" measureGroup="Table1" count="0">
      <extLst>
        <ext xmlns:x15="http://schemas.microsoft.com/office/spreadsheetml/2010/11/main" uri="{B97F6D7D-B522-45F9-BDA1-12C45D357490}">
          <x15:cacheHierarchy aggregatedColumn="3"/>
        </ext>
      </extLst>
    </cacheHierarchy>
    <cacheHierarchy uniqueName="[Measures].[Count of Customer Name]" caption="Count of Customer Name" measure="1" displayFolder="" measureGroup="Table1" count="0">
      <extLst>
        <ext xmlns:x15="http://schemas.microsoft.com/office/spreadsheetml/2010/11/main" uri="{B97F6D7D-B522-45F9-BDA1-12C45D357490}">
          <x15:cacheHierarchy aggregatedColumn="2"/>
        </ext>
      </extLst>
    </cacheHierarchy>
    <cacheHierarchy uniqueName="[Measures].[Count of Customer Segment]" caption="Count of Customer Segment" measure="1" displayFolder="" measureGroup="Table1" count="0">
      <extLst>
        <ext xmlns:x15="http://schemas.microsoft.com/office/spreadsheetml/2010/11/main" uri="{B97F6D7D-B522-45F9-BDA1-12C45D357490}">
          <x15:cacheHierarchy aggregatedColumn="7"/>
        </ext>
      </extLst>
    </cacheHierarchy>
    <cacheHierarchy uniqueName="[Measures].[Count of Acquisition Channel]" caption="Count of Acquisition Channel" measure="1" displayFolder="" measureGroup="Table1" count="0">
      <extLst>
        <ext xmlns:x15="http://schemas.microsoft.com/office/spreadsheetml/2010/11/main" uri="{B97F6D7D-B522-45F9-BDA1-12C45D357490}">
          <x15:cacheHierarchy aggregatedColumn="9"/>
        </ext>
      </extLst>
    </cacheHierarchy>
    <cacheHierarchy uniqueName="[Measures].[Count of Last Purchase Date]" caption="Count of Last Purchase Date" measure="1" displayFolder="" measureGroup="Table1" count="0">
      <extLst>
        <ext xmlns:x15="http://schemas.microsoft.com/office/spreadsheetml/2010/11/main" uri="{B97F6D7D-B522-45F9-BDA1-12C45D357490}">
          <x15:cacheHierarchy aggregatedColumn="12"/>
        </ext>
      </extLst>
    </cacheHierarchy>
    <cacheHierarchy uniqueName="[Measures].[Count of Month]" caption="Count of Month" measure="1" displayFolder="" measureGroup="Table1" count="0">
      <extLst>
        <ext xmlns:x15="http://schemas.microsoft.com/office/spreadsheetml/2010/11/main" uri="{B97F6D7D-B522-45F9-BDA1-12C45D357490}">
          <x15:cacheHierarchy aggregatedColumn="14"/>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licerData="1" pivotCacheId="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PivotTable1"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1:A2" firstHeaderRow="1" firstDataRow="1" firstDataCol="0"/>
  <pivotFields count="1">
    <pivotField dataField="1" showAll="0"/>
  </pivotFields>
  <rowItems count="1">
    <i/>
  </rowItems>
  <colItems count="1">
    <i/>
  </colItems>
  <dataFields count="1">
    <dataField name="Total Revenue (₦)" fld="0" baseField="0" baseItem="0" numFmtId="165"/>
  </dataFields>
  <formats count="1">
    <format dxfId="7">
      <pivotArea outline="0" collapsedLevelsAreSubtotals="1" fieldPosition="0"/>
    </format>
  </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Revenue (₦)"/>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oodness_Fashion_House_Customer_Dataset_100 (1).xlsx!Table1">
        <x15:activeTabTopLevelEntity name="[Table1]"/>
      </x15:pivotTableUISettings>
    </ext>
  </extLst>
</pivotTableDefinition>
</file>

<file path=xl/pivotTables/pivotTable2.xml><?xml version="1.0" encoding="utf-8"?>
<pivotTableDefinition xmlns="http://schemas.openxmlformats.org/spreadsheetml/2006/main" name="PivotTable8" cacheId="7"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chartFormat="3">
  <location ref="A131:B137" firstHeaderRow="1" firstDataRow="1" firstDataCol="1"/>
  <pivotFields count="3">
    <pivotField allDrilled="1" showAll="0" sortType="ascending" defaultAttributeDrillState="1">
      <items count="13">
        <item x="4"/>
        <item x="3"/>
        <item x="7"/>
        <item x="0"/>
        <item x="8"/>
        <item x="6"/>
        <item x="5"/>
        <item x="1"/>
        <item x="11"/>
        <item x="10"/>
        <item x="9"/>
        <item x="2"/>
        <item t="default"/>
      </items>
    </pivotField>
    <pivotField axis="axisRow" allDrilled="1" showAll="0" sortType="descending" defaultAttributeDrillState="1">
      <items count="6">
        <item x="0"/>
        <item x="1"/>
        <item x="2"/>
        <item x="3"/>
        <item x="4"/>
        <item t="default"/>
      </items>
      <autoSortScope>
        <pivotArea dataOnly="0" outline="0" fieldPosition="0">
          <references count="1">
            <reference field="4294967294" count="1" selected="0">
              <x v="0"/>
            </reference>
          </references>
        </pivotArea>
      </autoSortScope>
    </pivotField>
    <pivotField dataField="1" showAll="0"/>
  </pivotFields>
  <rowFields count="1">
    <field x="1"/>
  </rowFields>
  <rowItems count="6">
    <i>
      <x v="4"/>
    </i>
    <i>
      <x v="3"/>
    </i>
    <i>
      <x/>
    </i>
    <i>
      <x v="1"/>
    </i>
    <i>
      <x v="2"/>
    </i>
    <i t="grand">
      <x/>
    </i>
  </rowItems>
  <colItems count="1">
    <i/>
  </colItems>
  <dataFields count="1">
    <dataField name="Sum of Total Spend (₦)" fld="2" baseField="0" baseItem="0"/>
  </dataFields>
  <formats count="1">
    <format dxfId="8">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2"/>
          </reference>
        </references>
      </pivotArea>
    </chartFormat>
    <chartFormat chart="2" format="4">
      <pivotArea type="data" outline="0" fieldPosition="0">
        <references count="2">
          <reference field="4294967294" count="1" selected="0">
            <x v="0"/>
          </reference>
          <reference field="1" count="1" selected="0">
            <x v="1"/>
          </reference>
        </references>
      </pivotArea>
    </chartFormat>
    <chartFormat chart="2" format="5">
      <pivotArea type="data" outline="0" fieldPosition="0">
        <references count="2">
          <reference field="4294967294" count="1" selected="0">
            <x v="0"/>
          </reference>
          <reference field="1" count="1" selected="0">
            <x v="0"/>
          </reference>
        </references>
      </pivotArea>
    </chartFormat>
    <chartFormat chart="2" format="6">
      <pivotArea type="data" outline="0" fieldPosition="0">
        <references count="2">
          <reference field="4294967294" count="1" selected="0">
            <x v="0"/>
          </reference>
          <reference field="1" count="1" selected="0">
            <x v="3"/>
          </reference>
        </references>
      </pivotArea>
    </chartFormat>
    <chartFormat chart="2" format="7">
      <pivotArea type="data" outline="0" fieldPosition="0">
        <references count="2">
          <reference field="4294967294" count="1" selected="0">
            <x v="0"/>
          </reference>
          <reference field="1" count="1" selected="0">
            <x v="4"/>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caption="Total Revenue (₦)"/>
    <pivotHierarchy dragToData="1" caption="Average Order Value (₦)"/>
    <pivotHierarchy dragToData="1" caption="Total Customers"/>
    <pivotHierarchy dragToData="1" caption="Total Orders"/>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oodness_Fashion_House_Customer_Dataset_100 (1).xlsx!Table1">
        <x15:activeTabTopLevelEntity name="[Table1]"/>
      </x15:pivotTableUISettings>
    </ext>
  </extLst>
</pivotTableDefinition>
</file>

<file path=xl/pivotTables/pivotTable3.xml><?xml version="1.0" encoding="utf-8"?>
<pivotTableDefinition xmlns="http://schemas.openxmlformats.org/spreadsheetml/2006/main" name="PivotTable10" cacheId="5"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chartFormat="1">
  <location ref="A201:C218" firstHeaderRow="1" firstDataRow="1" firstDataCol="0"/>
  <pivotFields count="1">
    <pivotField allDrilled="1" showAll="0" sortType="ascending" defaultAttributeDrillState="1">
      <items count="13">
        <item x="4"/>
        <item x="3"/>
        <item x="7"/>
        <item x="0"/>
        <item x="8"/>
        <item x="6"/>
        <item x="5"/>
        <item x="1"/>
        <item x="11"/>
        <item x="10"/>
        <item x="9"/>
        <item x="2"/>
        <item t="default"/>
      </items>
    </pivotField>
  </pivotFields>
  <formats count="1">
    <format dxfId="9">
      <pivotArea outline="0" collapsedLevelsAreSubtotals="1" fieldPosition="0"/>
    </format>
  </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Revenue (₦)"/>
    <pivotHierarchy dragToData="1" caption="Average Order Value (₦)"/>
    <pivotHierarchy dragToData="1" caption="Total Customers"/>
    <pivotHierarchy dragToData="1" caption="Total Orders"/>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oodness_Fashion_House_Customer_Dataset_100 (1).xlsx!Table1">
        <x15:activeTabTopLevelEntity name="[Table1]"/>
      </x15:pivotTableUISettings>
    </ext>
  </extLst>
</pivotTableDefinition>
</file>

<file path=xl/pivotTables/pivotTable4.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chartFormat="4">
  <location ref="A61:B64" firstHeaderRow="1" firstDataRow="1" firstDataCol="1"/>
  <pivotFields count="2">
    <pivotField axis="axisRow" allDrilled="1" showAll="0" dataSourceSort="1" defaultAttributeDrillState="1">
      <items count="3">
        <item x="0"/>
        <item x="1"/>
        <item t="default"/>
      </items>
    </pivotField>
    <pivotField dataField="1" showAll="0"/>
  </pivotFields>
  <rowFields count="1">
    <field x="0"/>
  </rowFields>
  <rowItems count="3">
    <i>
      <x/>
    </i>
    <i>
      <x v="1"/>
    </i>
    <i t="grand">
      <x/>
    </i>
  </rowItems>
  <colItems count="1">
    <i/>
  </colItems>
  <dataFields count="1">
    <dataField name="Sum of Total Spend (₦)" fld="1" baseField="0" baseItem="0"/>
  </dataFields>
  <formats count="1">
    <format dxfId="10">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Revenue (₦)"/>
    <pivotHierarchy dragToData="1" caption="Average Order Value (₦)"/>
    <pivotHierarchy dragToData="1" caption="Total Customers"/>
    <pivotHierarchy dragToData="1" caption="Total Orders"/>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oodness_Fashion_House_Customer_Dataset_100 (1).xlsx!Table1">
        <x15:activeTabTopLevelEntity name="[Table1]"/>
      </x15:pivotTableUISettings>
    </ext>
  </extLst>
</pivotTableDefinition>
</file>

<file path=xl/pivotTables/pivotTable5.xml><?xml version="1.0" encoding="utf-8"?>
<pivotTableDefinition xmlns="http://schemas.openxmlformats.org/spreadsheetml/2006/main" name="PivotTable7" cacheId="9"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chartFormat="3">
  <location ref="A91:D105" firstHeaderRow="1" firstDataRow="2" firstDataCol="1"/>
  <pivotFields count="3">
    <pivotField axis="axisRow" allDrilled="1" showAll="0" sortType="ascending" defaultAttributeDrillState="1">
      <items count="13">
        <item x="4"/>
        <item x="3"/>
        <item x="7"/>
        <item x="0"/>
        <item x="8"/>
        <item x="6"/>
        <item x="5"/>
        <item x="1"/>
        <item x="11"/>
        <item x="10"/>
        <item x="9"/>
        <item x="2"/>
        <item t="default"/>
      </items>
    </pivotField>
    <pivotField dataField="1" showAll="0"/>
    <pivotField axis="axisCol" allDrilled="1" showAll="0" dataSourceSort="1" defaultAttributeDrillState="1">
      <items count="3">
        <item x="0"/>
        <item x="1"/>
        <item t="default"/>
      </items>
    </pivotField>
  </pivotFields>
  <rowFields count="1">
    <field x="0"/>
  </rowFields>
  <rowItems count="13">
    <i>
      <x/>
    </i>
    <i>
      <x v="1"/>
    </i>
    <i>
      <x v="2"/>
    </i>
    <i>
      <x v="3"/>
    </i>
    <i>
      <x v="4"/>
    </i>
    <i>
      <x v="5"/>
    </i>
    <i>
      <x v="6"/>
    </i>
    <i>
      <x v="7"/>
    </i>
    <i>
      <x v="8"/>
    </i>
    <i>
      <x v="9"/>
    </i>
    <i>
      <x v="10"/>
    </i>
    <i>
      <x v="11"/>
    </i>
    <i t="grand">
      <x/>
    </i>
  </rowItems>
  <colFields count="1">
    <field x="2"/>
  </colFields>
  <colItems count="3">
    <i>
      <x/>
    </i>
    <i>
      <x v="1"/>
    </i>
    <i t="grand">
      <x/>
    </i>
  </colItems>
  <dataFields count="1">
    <dataField name="Sum of Total Spend (₦)" fld="1" baseField="0" baseItem="0"/>
  </dataFields>
  <formats count="1">
    <format dxfId="11">
      <pivotArea outline="0" collapsedLevelsAreSubtotals="1" fieldPosition="0"/>
    </format>
  </formats>
  <chartFormats count="38">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0"/>
          </reference>
        </references>
      </pivotArea>
    </chartFormat>
    <chartFormat chart="2" format="4">
      <pivotArea type="data" outline="0" fieldPosition="0">
        <references count="2">
          <reference field="4294967294" count="1" selected="0">
            <x v="0"/>
          </reference>
          <reference field="0" count="1" selected="0">
            <x v="1"/>
          </reference>
        </references>
      </pivotArea>
    </chartFormat>
    <chartFormat chart="2" format="5">
      <pivotArea type="data" outline="0" fieldPosition="0">
        <references count="2">
          <reference field="4294967294" count="1" selected="0">
            <x v="0"/>
          </reference>
          <reference field="0" count="1" selected="0">
            <x v="2"/>
          </reference>
        </references>
      </pivotArea>
    </chartFormat>
    <chartFormat chart="2" format="6">
      <pivotArea type="data" outline="0" fieldPosition="0">
        <references count="2">
          <reference field="4294967294" count="1" selected="0">
            <x v="0"/>
          </reference>
          <reference field="0" count="1" selected="0">
            <x v="4"/>
          </reference>
        </references>
      </pivotArea>
    </chartFormat>
    <chartFormat chart="2" format="7">
      <pivotArea type="data" outline="0" fieldPosition="0">
        <references count="2">
          <reference field="4294967294" count="1" selected="0">
            <x v="0"/>
          </reference>
          <reference field="0" count="1" selected="0">
            <x v="5"/>
          </reference>
        </references>
      </pivotArea>
    </chartFormat>
    <chartFormat chart="2" format="8">
      <pivotArea type="data" outline="0" fieldPosition="0">
        <references count="2">
          <reference field="4294967294" count="1" selected="0">
            <x v="0"/>
          </reference>
          <reference field="0" count="1" selected="0">
            <x v="7"/>
          </reference>
        </references>
      </pivotArea>
    </chartFormat>
    <chartFormat chart="2" format="9">
      <pivotArea type="data" outline="0" fieldPosition="0">
        <references count="2">
          <reference field="4294967294" count="1" selected="0">
            <x v="0"/>
          </reference>
          <reference field="0" count="1" selected="0">
            <x v="6"/>
          </reference>
        </references>
      </pivotArea>
    </chartFormat>
    <chartFormat chart="2" format="10">
      <pivotArea type="data" outline="0" fieldPosition="0">
        <references count="2">
          <reference field="4294967294" count="1" selected="0">
            <x v="0"/>
          </reference>
          <reference field="0" count="1" selected="0">
            <x v="9"/>
          </reference>
        </references>
      </pivotArea>
    </chartFormat>
    <chartFormat chart="2" format="11">
      <pivotArea type="data" outline="0" fieldPosition="0">
        <references count="2">
          <reference field="4294967294" count="1" selected="0">
            <x v="0"/>
          </reference>
          <reference field="0" count="1" selected="0">
            <x v="10"/>
          </reference>
        </references>
      </pivotArea>
    </chartFormat>
    <chartFormat chart="2" format="12">
      <pivotArea type="data" outline="0" fieldPosition="0">
        <references count="2">
          <reference field="4294967294" count="1" selected="0">
            <x v="0"/>
          </reference>
          <reference field="0" count="1" selected="0">
            <x v="11"/>
          </reference>
        </references>
      </pivotArea>
    </chartFormat>
    <chartFormat chart="2" format="13" series="1">
      <pivotArea type="data" outline="0" fieldPosition="0">
        <references count="2">
          <reference field="4294967294" count="1" selected="0">
            <x v="0"/>
          </reference>
          <reference field="2" count="1" selected="0">
            <x v="1"/>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2" format="14">
      <pivotArea type="data" outline="0" fieldPosition="0">
        <references count="3">
          <reference field="4294967294" count="1" selected="0">
            <x v="0"/>
          </reference>
          <reference field="0" count="1" selected="0">
            <x v="0"/>
          </reference>
          <reference field="2" count="1" selected="0">
            <x v="0"/>
          </reference>
        </references>
      </pivotArea>
    </chartFormat>
    <chartFormat chart="2" format="15">
      <pivotArea type="data" outline="0" fieldPosition="0">
        <references count="3">
          <reference field="4294967294" count="1" selected="0">
            <x v="0"/>
          </reference>
          <reference field="0" count="1" selected="0">
            <x v="1"/>
          </reference>
          <reference field="2" count="1" selected="0">
            <x v="0"/>
          </reference>
        </references>
      </pivotArea>
    </chartFormat>
    <chartFormat chart="2" format="16">
      <pivotArea type="data" outline="0" fieldPosition="0">
        <references count="3">
          <reference field="4294967294" count="1" selected="0">
            <x v="0"/>
          </reference>
          <reference field="0" count="1" selected="0">
            <x v="2"/>
          </reference>
          <reference field="2" count="1" selected="0">
            <x v="0"/>
          </reference>
        </references>
      </pivotArea>
    </chartFormat>
    <chartFormat chart="2" format="17">
      <pivotArea type="data" outline="0" fieldPosition="0">
        <references count="3">
          <reference field="4294967294" count="1" selected="0">
            <x v="0"/>
          </reference>
          <reference field="0" count="1" selected="0">
            <x v="8"/>
          </reference>
          <reference field="2" count="1" selected="0">
            <x v="1"/>
          </reference>
        </references>
      </pivotArea>
    </chartFormat>
    <chartFormat chart="2" format="18">
      <pivotArea type="data" outline="0" fieldPosition="0">
        <references count="3">
          <reference field="4294967294" count="1" selected="0">
            <x v="0"/>
          </reference>
          <reference field="0" count="1" selected="0">
            <x v="6"/>
          </reference>
          <reference field="2" count="1" selected="0">
            <x v="1"/>
          </reference>
        </references>
      </pivotArea>
    </chartFormat>
    <chartFormat chart="2" format="19">
      <pivotArea type="data" outline="0" fieldPosition="0">
        <references count="3">
          <reference field="4294967294" count="1" selected="0">
            <x v="0"/>
          </reference>
          <reference field="0" count="1" selected="0">
            <x v="5"/>
          </reference>
          <reference field="2" count="1" selected="0">
            <x v="1"/>
          </reference>
        </references>
      </pivotArea>
    </chartFormat>
    <chartFormat chart="2" format="20">
      <pivotArea type="data" outline="0" fieldPosition="0">
        <references count="3">
          <reference field="4294967294" count="1" selected="0">
            <x v="0"/>
          </reference>
          <reference field="0" count="1" selected="0">
            <x v="1"/>
          </reference>
          <reference field="2" count="1" selected="0">
            <x v="1"/>
          </reference>
        </references>
      </pivotArea>
    </chartFormat>
    <chartFormat chart="2" format="21">
      <pivotArea type="data" outline="0" fieldPosition="0">
        <references count="3">
          <reference field="4294967294" count="1" selected="0">
            <x v="0"/>
          </reference>
          <reference field="0" count="1" selected="0">
            <x v="2"/>
          </reference>
          <reference field="2" count="1" selected="0">
            <x v="1"/>
          </reference>
        </references>
      </pivotArea>
    </chartFormat>
    <chartFormat chart="2" format="22">
      <pivotArea type="data" outline="0" fieldPosition="0">
        <references count="3">
          <reference field="4294967294" count="1" selected="0">
            <x v="0"/>
          </reference>
          <reference field="0" count="1" selected="0">
            <x v="3"/>
          </reference>
          <reference field="2" count="1" selected="0">
            <x v="1"/>
          </reference>
        </references>
      </pivotArea>
    </chartFormat>
    <chartFormat chart="2" format="23">
      <pivotArea type="data" outline="0" fieldPosition="0">
        <references count="3">
          <reference field="4294967294" count="1" selected="0">
            <x v="0"/>
          </reference>
          <reference field="0" count="1" selected="0">
            <x v="4"/>
          </reference>
          <reference field="2" count="1" selected="0">
            <x v="1"/>
          </reference>
        </references>
      </pivotArea>
    </chartFormat>
    <chartFormat chart="2" format="24">
      <pivotArea type="data" outline="0" fieldPosition="0">
        <references count="3">
          <reference field="4294967294" count="1" selected="0">
            <x v="0"/>
          </reference>
          <reference field="0" count="1" selected="0">
            <x v="6"/>
          </reference>
          <reference field="2" count="1" selected="0">
            <x v="0"/>
          </reference>
        </references>
      </pivotArea>
    </chartFormat>
    <chartFormat chart="2" format="25">
      <pivotArea type="data" outline="0" fieldPosition="0">
        <references count="3">
          <reference field="4294967294" count="1" selected="0">
            <x v="0"/>
          </reference>
          <reference field="0" count="1" selected="0">
            <x v="5"/>
          </reference>
          <reference field="2" count="1" selected="0">
            <x v="0"/>
          </reference>
        </references>
      </pivotArea>
    </chartFormat>
    <chartFormat chart="2" format="26">
      <pivotArea type="data" outline="0" fieldPosition="0">
        <references count="3">
          <reference field="4294967294" count="1" selected="0">
            <x v="0"/>
          </reference>
          <reference field="0" count="1" selected="0">
            <x v="4"/>
          </reference>
          <reference field="2" count="1" selected="0">
            <x v="0"/>
          </reference>
        </references>
      </pivotArea>
    </chartFormat>
    <chartFormat chart="2" format="27">
      <pivotArea type="data" outline="0" fieldPosition="0">
        <references count="3">
          <reference field="4294967294" count="1" selected="0">
            <x v="0"/>
          </reference>
          <reference field="0" count="1" selected="0">
            <x v="7"/>
          </reference>
          <reference field="2" count="1" selected="0">
            <x v="1"/>
          </reference>
        </references>
      </pivotArea>
    </chartFormat>
    <chartFormat chart="2" format="28">
      <pivotArea type="data" outline="0" fieldPosition="0">
        <references count="3">
          <reference field="4294967294" count="1" selected="0">
            <x v="0"/>
          </reference>
          <reference field="0" count="1" selected="0">
            <x v="7"/>
          </reference>
          <reference field="2" count="1" selected="0">
            <x v="0"/>
          </reference>
        </references>
      </pivotArea>
    </chartFormat>
    <chartFormat chart="2" format="29" series="1">
      <pivotArea type="data" outline="0" fieldPosition="0">
        <references count="2">
          <reference field="4294967294" count="1" selected="0">
            <x v="0"/>
          </reference>
          <reference field="2" count="1" selected="0">
            <x v="0"/>
          </reference>
        </references>
      </pivotArea>
    </chartFormat>
    <chartFormat chart="2" format="30">
      <pivotArea type="data" outline="0" fieldPosition="0">
        <references count="3">
          <reference field="4294967294" count="1" selected="0">
            <x v="0"/>
          </reference>
          <reference field="0" count="1" selected="0">
            <x v="9"/>
          </reference>
          <reference field="2" count="1" selected="0">
            <x v="0"/>
          </reference>
        </references>
      </pivotArea>
    </chartFormat>
    <chartFormat chart="2" format="31">
      <pivotArea type="data" outline="0" fieldPosition="0">
        <references count="3">
          <reference field="4294967294" count="1" selected="0">
            <x v="0"/>
          </reference>
          <reference field="0" count="1" selected="0">
            <x v="10"/>
          </reference>
          <reference field="2" count="1" selected="0">
            <x v="0"/>
          </reference>
        </references>
      </pivotArea>
    </chartFormat>
    <chartFormat chart="2" format="32">
      <pivotArea type="data" outline="0" fieldPosition="0">
        <references count="3">
          <reference field="4294967294" count="1" selected="0">
            <x v="0"/>
          </reference>
          <reference field="0" count="1" selected="0">
            <x v="11"/>
          </reference>
          <reference field="2" count="1" selected="0">
            <x v="0"/>
          </reference>
        </references>
      </pivotArea>
    </chartFormat>
    <chartFormat chart="2" format="33">
      <pivotArea type="data" outline="0" fieldPosition="0">
        <references count="3">
          <reference field="4294967294" count="1" selected="0">
            <x v="0"/>
          </reference>
          <reference field="0" count="1" selected="0">
            <x v="0"/>
          </reference>
          <reference field="2" count="1" selected="0">
            <x v="1"/>
          </reference>
        </references>
      </pivotArea>
    </chartFormat>
    <chartFormat chart="2" format="34">
      <pivotArea type="data" outline="0" fieldPosition="0">
        <references count="3">
          <reference field="4294967294" count="1" selected="0">
            <x v="0"/>
          </reference>
          <reference field="0" count="1" selected="0">
            <x v="9"/>
          </reference>
          <reference field="2" count="1" selected="0">
            <x v="1"/>
          </reference>
        </references>
      </pivotArea>
    </chartFormat>
    <chartFormat chart="2" format="35">
      <pivotArea type="data" outline="0" fieldPosition="0">
        <references count="3">
          <reference field="4294967294" count="1" selected="0">
            <x v="0"/>
          </reference>
          <reference field="0" count="1" selected="0">
            <x v="10"/>
          </reference>
          <reference field="2" count="1" selected="0">
            <x v="1"/>
          </reference>
        </references>
      </pivotArea>
    </chartFormat>
    <chartFormat chart="2" format="36">
      <pivotArea type="data" outline="0" fieldPosition="0">
        <references count="3">
          <reference field="4294967294" count="1" selected="0">
            <x v="0"/>
          </reference>
          <reference field="0" count="1" selected="0">
            <x v="11"/>
          </reference>
          <reference field="2" count="1" selected="0">
            <x v="1"/>
          </reference>
        </references>
      </pivotArea>
    </chartFormat>
    <chartFormat chart="0" format="3" series="1">
      <pivotArea type="data" outline="0" fieldPosition="0">
        <references count="2">
          <reference field="4294967294" count="1" selected="0">
            <x v="0"/>
          </reference>
          <reference field="2" count="1" selected="0">
            <x v="0"/>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Revenue (₦)"/>
    <pivotHierarchy dragToData="1" caption="Average Order Value (₦)"/>
    <pivotHierarchy dragToData="1" caption="Total Customers"/>
    <pivotHierarchy dragToData="1" caption="Total Orders"/>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oodness_Fashion_House_Customer_Dataset_100 (1).xlsx!Table1">
        <x15:activeTabTopLevelEntity name="[Table1]"/>
      </x15:pivotTableUISettings>
    </ext>
  </extLst>
</pivotTableDefinition>
</file>

<file path=xl/pivotTables/pivotTable6.xml><?xml version="1.0" encoding="utf-8"?>
<pivotTableDefinition xmlns="http://schemas.openxmlformats.org/spreadsheetml/2006/main" name="PivotTable9" cacheId="8"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chartFormat="3">
  <location ref="A161:B170" firstHeaderRow="1" firstDataRow="1" firstDataCol="1"/>
  <pivotFields count="4">
    <pivotField allDrilled="1" showAll="0" sortType="ascending" defaultAttributeDrillState="1">
      <items count="13">
        <item x="4"/>
        <item x="3"/>
        <item x="7"/>
        <item x="0"/>
        <item x="8"/>
        <item x="6"/>
        <item x="5"/>
        <item x="1"/>
        <item x="11"/>
        <item x="10"/>
        <item x="9"/>
        <item x="2"/>
        <item t="default"/>
      </items>
    </pivotField>
    <pivotField allDrilled="1" showAll="0" sortType="descending" defaultAttributeDrillState="1">
      <items count="6">
        <item x="0"/>
        <item x="1"/>
        <item x="2"/>
        <item x="3"/>
        <item x="4"/>
        <item t="default"/>
      </items>
      <autoSortScope>
        <pivotArea dataOnly="0" outline="0" fieldPosition="0">
          <references count="1">
            <reference field="4294967294" count="1" selected="0">
              <x v="0"/>
            </reference>
          </references>
        </pivotArea>
      </autoSortScope>
    </pivotField>
    <pivotField dataField="1" showAll="0"/>
    <pivotField axis="axisRow" allDrilled="1" showAll="0" sortType="ascending" defaultAttributeDrillState="1">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s>
  <rowFields count="1">
    <field x="3"/>
  </rowFields>
  <rowItems count="9">
    <i>
      <x/>
    </i>
    <i>
      <x v="2"/>
    </i>
    <i>
      <x v="4"/>
    </i>
    <i>
      <x v="6"/>
    </i>
    <i>
      <x v="3"/>
    </i>
    <i>
      <x v="5"/>
    </i>
    <i>
      <x v="7"/>
    </i>
    <i>
      <x v="1"/>
    </i>
    <i t="grand">
      <x/>
    </i>
  </rowItems>
  <colItems count="1">
    <i/>
  </colItems>
  <dataFields count="1">
    <dataField name="Sum of Total Spend (₦)" fld="2" baseField="0" baseItem="0"/>
  </dataFields>
  <formats count="1">
    <format dxfId="12">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3" count="1" selected="0">
            <x v="1"/>
          </reference>
        </references>
      </pivotArea>
    </chartFormat>
    <chartFormat chart="2" format="4">
      <pivotArea type="data" outline="0" fieldPosition="0">
        <references count="2">
          <reference field="4294967294" count="1" selected="0">
            <x v="0"/>
          </reference>
          <reference field="3" count="1" selected="0">
            <x v="7"/>
          </reference>
        </references>
      </pivotArea>
    </chartFormat>
    <chartFormat chart="2" format="5">
      <pivotArea type="data" outline="0" fieldPosition="0">
        <references count="2">
          <reference field="4294967294" count="1" selected="0">
            <x v="0"/>
          </reference>
          <reference field="3" count="1" selected="0">
            <x v="5"/>
          </reference>
        </references>
      </pivotArea>
    </chartFormat>
    <chartFormat chart="2" format="6">
      <pivotArea type="data" outline="0" fieldPosition="0">
        <references count="2">
          <reference field="4294967294" count="1" selected="0">
            <x v="0"/>
          </reference>
          <reference field="3" count="1" selected="0">
            <x v="3"/>
          </reference>
        </references>
      </pivotArea>
    </chartFormat>
    <chartFormat chart="2" format="7">
      <pivotArea type="data" outline="0" fieldPosition="0">
        <references count="2">
          <reference field="4294967294" count="1" selected="0">
            <x v="0"/>
          </reference>
          <reference field="3" count="1" selected="0">
            <x v="6"/>
          </reference>
        </references>
      </pivotArea>
    </chartFormat>
    <chartFormat chart="2" format="8">
      <pivotArea type="data" outline="0" fieldPosition="0">
        <references count="2">
          <reference field="4294967294" count="1" selected="0">
            <x v="0"/>
          </reference>
          <reference field="3" count="1" selected="0">
            <x v="4"/>
          </reference>
        </references>
      </pivotArea>
    </chartFormat>
    <chartFormat chart="2" format="9">
      <pivotArea type="data" outline="0" fieldPosition="0">
        <references count="2">
          <reference field="4294967294" count="1" selected="0">
            <x v="0"/>
          </reference>
          <reference field="3" count="1" selected="0">
            <x v="2"/>
          </reference>
        </references>
      </pivotArea>
    </chartFormat>
    <chartFormat chart="2" format="10">
      <pivotArea type="data" outline="0" fieldPosition="0">
        <references count="2">
          <reference field="4294967294" count="1" selected="0">
            <x v="0"/>
          </reference>
          <reference field="3" count="1" selected="0">
            <x v="0"/>
          </reference>
        </references>
      </pivotArea>
    </chartFormat>
  </chartFormats>
  <pivotHierarchies count="27">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Revenue (₦)"/>
    <pivotHierarchy dragToData="1" caption="Average Order Value (₦)"/>
    <pivotHierarchy dragToData="1" caption="Total Customers"/>
    <pivotHierarchy dragToData="1" caption="Total Orders"/>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oodness_Fashion_House_Customer_Dataset_100 (1).xlsx!Table1">
        <x15:activeTabTopLevelEntity name="[Table1]"/>
      </x15:pivotTableUISettings>
    </ext>
  </extLst>
</pivotTableDefinition>
</file>

<file path=xl/pivotTables/pivotTable7.xml><?xml version="1.0" encoding="utf-8"?>
<pivotTableDefinition xmlns="http://schemas.openxmlformats.org/spreadsheetml/2006/main" name="PivotTable5" cacheId="6"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30:B41" firstHeaderRow="1" firstDataRow="1" firstDataCol="1"/>
  <pivotFields count="2">
    <pivotField axis="axisRow" allDrilled="1" showAll="0" measureFilter="1" sortType="ascending" defaultAttributeDrillState="1">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11">
    <i>
      <x v="2"/>
    </i>
    <i>
      <x v="9"/>
    </i>
    <i>
      <x v="4"/>
    </i>
    <i>
      <x v="6"/>
    </i>
    <i>
      <x v="1"/>
    </i>
    <i>
      <x/>
    </i>
    <i>
      <x v="5"/>
    </i>
    <i>
      <x v="7"/>
    </i>
    <i>
      <x v="8"/>
    </i>
    <i>
      <x v="3"/>
    </i>
    <i t="grand">
      <x/>
    </i>
  </rowItems>
  <colItems count="1">
    <i/>
  </colItems>
  <dataFields count="1">
    <dataField name="Sum of Total Spend (₦)" fld="1" baseField="0" baseItem="0"/>
  </dataFields>
  <formats count="1">
    <format dxfId="1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Revenue (₦)"/>
    <pivotHierarchy dragToData="1" caption="Average Order Value (₦)"/>
    <pivotHierarchy dragToData="1" caption="Total Customers"/>
    <pivotHierarchy dragToData="1" caption="Total Orders"/>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15">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oodness_Fashion_House_Customer_Dataset_100 (1).xlsx!Table1">
        <x15:activeTabTopLevelEntity name="[Table1]"/>
      </x15:pivotTableUISettings>
    </ext>
  </extLst>
</pivotTableDefinition>
</file>

<file path=xl/pivotTables/pivotTable8.xml><?xml version="1.0" encoding="utf-8"?>
<pivotTableDefinition xmlns="http://schemas.openxmlformats.org/spreadsheetml/2006/main" name="PivotTable3"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11:A12" firstHeaderRow="1" firstDataRow="1" firstDataCol="0"/>
  <pivotFields count="1">
    <pivotField dataField="1" showAll="0"/>
  </pivotFields>
  <rowItems count="1">
    <i/>
  </rowItems>
  <colItems count="1">
    <i/>
  </colItems>
  <dataFields count="1">
    <dataField name="Total Customers" fld="0" subtotal="count" baseField="0" baseItem="0"/>
  </dataFields>
  <formats count="1">
    <format dxfId="14">
      <pivotArea outline="0" collapsedLevelsAreSubtotals="1" fieldPosition="0"/>
    </format>
  </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Revenue (₦)"/>
    <pivotHierarchy dragToData="1" caption="Average Order Value (₦)"/>
    <pivotHierarchy dragToData="1" caption="Total Customers"/>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oodness_Fashion_House_Customer_Dataset_100 (1).xlsx!Table1">
        <x15:activeTabTopLevelEntity name="[Table1]"/>
      </x15:pivotTableUISettings>
    </ext>
  </extLst>
</pivotTableDefinition>
</file>

<file path=xl/pivotTables/pivotTable9.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16:A17" firstHeaderRow="1" firstDataRow="1" firstDataCol="0"/>
  <pivotFields count="1">
    <pivotField dataField="1" showAll="0"/>
  </pivotFields>
  <rowItems count="1">
    <i/>
  </rowItems>
  <colItems count="1">
    <i/>
  </colItems>
  <dataFields count="1">
    <dataField name="Total Orders" fld="0" baseField="0" baseItem="0"/>
  </dataFields>
  <formats count="1">
    <format dxfId="15">
      <pivotArea outline="0" collapsedLevelsAreSubtotals="1" fieldPosition="0"/>
    </format>
  </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Revenue (₦)"/>
    <pivotHierarchy dragToData="1" caption="Average Order Value (₦)"/>
    <pivotHierarchy dragToData="1" caption="Total Customers"/>
    <pivotHierarchy dragToData="1" caption="Total Orders"/>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oodness_Fashion_House_Customer_Dataset_100 (1).xlsx!Table1">
        <x15:activeTabTopLevelEntity name="[Table1]"/>
      </x15:pivotTableUISettings>
    </ext>
  </extLst>
</pivotTableDefinition>
</file>

<file path=xl/pivotTables/pivotTable10.xml><?xml version="1.0" encoding="utf-8"?>
<pivotTableDefinition xmlns="http://schemas.openxmlformats.org/spreadsheetml/2006/main" name="PivotTable2"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6:A7" firstHeaderRow="1" firstDataRow="1" firstDataCol="0"/>
  <pivotFields count="1">
    <pivotField dataField="1" showAll="0"/>
  </pivotFields>
  <rowItems count="1">
    <i/>
  </rowItems>
  <colItems count="1">
    <i/>
  </colItems>
  <dataFields count="1">
    <dataField name="Average Order Value (₦)" fld="0" subtotal="average" baseField="0" baseItem="264871344" numFmtId="165"/>
  </dataFields>
  <formats count="1">
    <format dxfId="16">
      <pivotArea outline="0" collapsedLevelsAreSubtotals="1" fieldPosition="0"/>
    </format>
  </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Revenue (₦)"/>
    <pivotHierarchy dragToData="1" caption="Average Order Value (₦)"/>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oodness_Fashion_House_Customer_Dataset_100 (1).xlsx!Table1">
        <x15:activeTabTopLevelEntity name="[Table1]"/>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Acquisition_Channel" sourceName="[Table1].[Acquisition Channel]">
  <pivotTables>
    <pivotTable tabId="3" name="PivotTable8"/>
  </pivotTables>
  <data>
    <olap pivotCacheId="1">
      <levels count="2">
        <level uniqueName="[Table1].[Acquisition Channel].[(All)]" sourceCaption="(All)" count="0"/>
        <level uniqueName="[Table1].[Acquisition Channel].[Acquisition Channel]" sourceCaption="Acquisition Channel" count="5">
          <ranges>
            <range startItem="0">
              <i n="[Table1].[Acquisition Channel].&amp;[Instagram]" c="Instagram"/>
              <i n="[Table1].[Acquisition Channel].&amp;[Referral]" c="Referral"/>
              <i n="[Table1].[Acquisition Channel].&amp;[Walk-in]" c="Walk-in"/>
              <i n="[Table1].[Acquisition Channel].&amp;[Website]" c="Website"/>
              <i n="[Table1].[Acquisition Channel].&amp;[WhatsApp]" c="WhatsApp"/>
            </range>
          </ranges>
        </level>
      </levels>
      <selections count="1">
        <selection n="[Table1].[Acquisition Channel].[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Location" sourceName="[Table1].[Location]">
  <pivotTables>
    <pivotTable tabId="3" name="PivotTable9"/>
  </pivotTables>
  <data>
    <olap pivotCacheId="1">
      <levels count="2">
        <level uniqueName="[Table1].[Location].[(All)]" sourceCaption="(All)" count="0"/>
        <level uniqueName="[Table1].[Location].[Location]" sourceCaption="Location" count="8">
          <ranges>
            <range startItem="0">
              <i n="[Table1].[Location].&amp;[Abuja]" c="Abuja"/>
              <i n="[Table1].[Location].&amp;[Benin City]" c="Benin City"/>
              <i n="[Table1].[Location].&amp;[Calabar]" c="Calabar"/>
              <i n="[Table1].[Location].&amp;[Enugu]" c="Enugu"/>
              <i n="[Table1].[Location].&amp;[Ibadan]" c="Ibadan"/>
              <i n="[Table1].[Location].&amp;[Lagos]" c="Lagos"/>
              <i n="[Table1].[Location].&amp;[Owerri]" c="Owerri"/>
              <i n="[Table1].[Location].&amp;[Port Harcourt]" c="Port Harcourt"/>
            </range>
          </ranges>
        </level>
      </levels>
      <selections count="1">
        <selection n="[Table1].[Locat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Acquisition Channel" cache="Slicer_Acquisition_Channel" caption="Acquisition Channel" columnCount="2" level="1" style="Slicer Style 2" rowHeight="234950"/>
  <slicer name="Location" cache="Slicer_Location" caption="Location" columnCount="3" level="1" style="Slicer Style 2" rowHeight="234950"/>
</slicers>
</file>

<file path=xl/tables/table1.xml><?xml version="1.0" encoding="utf-8"?>
<table xmlns="http://schemas.openxmlformats.org/spreadsheetml/2006/main" id="1" name="GFashionHouse" displayName="GFashionHouse" ref="A1:O101" totalsRowShown="0" headerRowDxfId="6" headerRowBorderDxfId="5" tableBorderDxfId="4">
  <autoFilter ref="A1:O101"/>
  <sortState ref="A2:O101">
    <sortCondition ref="A2"/>
  </sortState>
  <tableColumns count="15">
    <tableColumn id="1" name="Customer ID"/>
    <tableColumn id="2" name="Customer Name"/>
    <tableColumn id="3" name="Gender"/>
    <tableColumn id="4" name="Age"/>
    <tableColumn id="14" name="Age Group"/>
    <tableColumn id="6" name="Location"/>
    <tableColumn id="7" name="Customer Segment"/>
    <tableColumn id="8" name="Preferred Category"/>
    <tableColumn id="9" name="Acquisition Channel"/>
    <tableColumn id="10" name="Orders"/>
    <tableColumn id="11" name="Total Spend (₦)"/>
    <tableColumn id="12" name="Last Purchase Date" dataDxfId="3"/>
    <tableColumn id="15" name="Year" dataDxfId="2">
      <calculatedColumnFormula>YEAR(GFashionHouse[[#This Row],[Last Purchase Date]])</calculatedColumnFormula>
    </tableColumn>
    <tableColumn id="16" name="Month" dataDxfId="1">
      <calculatedColumnFormula>TEXT(GFashionHouse[[#This Row],[Last Purchase Date]],"MMMM")</calculatedColumnFormula>
    </tableColumn>
    <tableColumn id="17" name="Month Number" dataDxfId="0">
      <calculatedColumnFormula>MONTH(GFashionHouse[[#This Row],[Last Purchase Date]])</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18"/>
  <sheetViews>
    <sheetView topLeftCell="A89" workbookViewId="0">
      <selection activeCell="B92" sqref="B92"/>
    </sheetView>
  </sheetViews>
  <sheetFormatPr defaultRowHeight="14.4" x14ac:dyDescent="0.3"/>
  <cols>
    <col min="1" max="1" width="20.77734375" customWidth="1"/>
    <col min="2" max="2" width="15.5546875" customWidth="1"/>
    <col min="3" max="3" width="10.44140625" customWidth="1"/>
    <col min="4" max="4" width="11.44140625" customWidth="1"/>
    <col min="5" max="101" width="9.109375" customWidth="1"/>
    <col min="102" max="102" width="10.77734375" customWidth="1"/>
    <col min="103" max="103" width="13.6640625" bestFit="1" customWidth="1"/>
    <col min="104" max="104" width="15.109375" bestFit="1" customWidth="1"/>
    <col min="105" max="105" width="13.6640625" bestFit="1" customWidth="1"/>
    <col min="106" max="106" width="14.5546875" bestFit="1" customWidth="1"/>
    <col min="107" max="107" width="11.44140625" bestFit="1" customWidth="1"/>
  </cols>
  <sheetData>
    <row r="1" spans="1:1" x14ac:dyDescent="0.3">
      <c r="A1" t="s">
        <v>252</v>
      </c>
    </row>
    <row r="2" spans="1:1" x14ac:dyDescent="0.3">
      <c r="A2" s="7">
        <v>18515857</v>
      </c>
    </row>
    <row r="6" spans="1:1" x14ac:dyDescent="0.3">
      <c r="A6" t="s">
        <v>253</v>
      </c>
    </row>
    <row r="7" spans="1:1" x14ac:dyDescent="0.3">
      <c r="A7" s="7">
        <v>185158.57</v>
      </c>
    </row>
    <row r="11" spans="1:1" x14ac:dyDescent="0.3">
      <c r="A11" t="s">
        <v>238</v>
      </c>
    </row>
    <row r="12" spans="1:1" x14ac:dyDescent="0.3">
      <c r="A12" s="7">
        <v>100</v>
      </c>
    </row>
    <row r="16" spans="1:1" x14ac:dyDescent="0.3">
      <c r="A16" t="s">
        <v>255</v>
      </c>
    </row>
    <row r="17" spans="1:2" x14ac:dyDescent="0.3">
      <c r="A17" s="7">
        <v>478</v>
      </c>
    </row>
    <row r="29" spans="1:2" x14ac:dyDescent="0.3">
      <c r="A29" t="s">
        <v>257</v>
      </c>
    </row>
    <row r="30" spans="1:2" x14ac:dyDescent="0.3">
      <c r="A30" s="8" t="s">
        <v>256</v>
      </c>
      <c r="B30" t="s">
        <v>251</v>
      </c>
    </row>
    <row r="31" spans="1:2" x14ac:dyDescent="0.3">
      <c r="A31" s="15" t="s">
        <v>157</v>
      </c>
      <c r="B31" s="7">
        <v>344813</v>
      </c>
    </row>
    <row r="32" spans="1:2" x14ac:dyDescent="0.3">
      <c r="A32" s="15" t="s">
        <v>213</v>
      </c>
      <c r="B32" s="7">
        <v>351589</v>
      </c>
    </row>
    <row r="33" spans="1:2" x14ac:dyDescent="0.3">
      <c r="A33" s="15" t="s">
        <v>139</v>
      </c>
      <c r="B33" s="7">
        <v>361280</v>
      </c>
    </row>
    <row r="34" spans="1:2" x14ac:dyDescent="0.3">
      <c r="A34" s="15" t="s">
        <v>199</v>
      </c>
      <c r="B34" s="7">
        <v>378490</v>
      </c>
    </row>
    <row r="35" spans="1:2" x14ac:dyDescent="0.3">
      <c r="A35" s="15" t="s">
        <v>163</v>
      </c>
      <c r="B35" s="7">
        <v>384909</v>
      </c>
    </row>
    <row r="36" spans="1:2" x14ac:dyDescent="0.3">
      <c r="A36" s="15" t="s">
        <v>33</v>
      </c>
      <c r="B36" s="7">
        <v>421408</v>
      </c>
    </row>
    <row r="37" spans="1:2" x14ac:dyDescent="0.3">
      <c r="A37" s="15" t="s">
        <v>54</v>
      </c>
      <c r="B37" s="7">
        <v>432248</v>
      </c>
    </row>
    <row r="38" spans="1:2" x14ac:dyDescent="0.3">
      <c r="A38" s="15" t="s">
        <v>73</v>
      </c>
      <c r="B38" s="7">
        <v>432528</v>
      </c>
    </row>
    <row r="39" spans="1:2" x14ac:dyDescent="0.3">
      <c r="A39" s="15" t="s">
        <v>105</v>
      </c>
      <c r="B39" s="7">
        <v>433232</v>
      </c>
    </row>
    <row r="40" spans="1:2" x14ac:dyDescent="0.3">
      <c r="A40" s="15" t="s">
        <v>93</v>
      </c>
      <c r="B40" s="7">
        <v>439168</v>
      </c>
    </row>
    <row r="41" spans="1:2" x14ac:dyDescent="0.3">
      <c r="A41" s="15" t="s">
        <v>254</v>
      </c>
      <c r="B41" s="7">
        <v>3979665</v>
      </c>
    </row>
    <row r="60" spans="1:2" x14ac:dyDescent="0.3">
      <c r="A60" t="s">
        <v>258</v>
      </c>
    </row>
    <row r="61" spans="1:2" x14ac:dyDescent="0.3">
      <c r="A61" s="8" t="s">
        <v>256</v>
      </c>
      <c r="B61" t="s">
        <v>251</v>
      </c>
    </row>
    <row r="62" spans="1:2" x14ac:dyDescent="0.3">
      <c r="A62" s="15" t="s">
        <v>14</v>
      </c>
      <c r="B62" s="7">
        <v>15408409</v>
      </c>
    </row>
    <row r="63" spans="1:2" x14ac:dyDescent="0.3">
      <c r="A63" s="15" t="s">
        <v>26</v>
      </c>
      <c r="B63" s="7">
        <v>3107448</v>
      </c>
    </row>
    <row r="64" spans="1:2" x14ac:dyDescent="0.3">
      <c r="A64" s="15" t="s">
        <v>254</v>
      </c>
      <c r="B64" s="7">
        <v>18515857</v>
      </c>
    </row>
    <row r="90" spans="1:4" x14ac:dyDescent="0.3">
      <c r="A90" t="s">
        <v>271</v>
      </c>
    </row>
    <row r="91" spans="1:4" x14ac:dyDescent="0.3">
      <c r="A91" s="8" t="s">
        <v>251</v>
      </c>
      <c r="B91" s="8" t="s">
        <v>275</v>
      </c>
    </row>
    <row r="92" spans="1:4" x14ac:dyDescent="0.3">
      <c r="A92" s="8" t="s">
        <v>256</v>
      </c>
      <c r="B92">
        <v>2025</v>
      </c>
      <c r="C92">
        <v>2026</v>
      </c>
      <c r="D92" t="s">
        <v>254</v>
      </c>
    </row>
    <row r="93" spans="1:4" x14ac:dyDescent="0.3">
      <c r="A93" s="15" t="s">
        <v>263</v>
      </c>
      <c r="B93" s="7">
        <v>1147391</v>
      </c>
      <c r="C93" s="7">
        <v>235748</v>
      </c>
      <c r="D93" s="7">
        <v>1383139</v>
      </c>
    </row>
    <row r="94" spans="1:4" x14ac:dyDescent="0.3">
      <c r="A94" s="15" t="s">
        <v>262</v>
      </c>
      <c r="B94" s="7">
        <v>1214851</v>
      </c>
      <c r="C94" s="7">
        <v>734725</v>
      </c>
      <c r="D94" s="7">
        <v>1949576</v>
      </c>
    </row>
    <row r="95" spans="1:4" x14ac:dyDescent="0.3">
      <c r="A95" s="15" t="s">
        <v>266</v>
      </c>
      <c r="B95" s="7">
        <v>717541</v>
      </c>
      <c r="C95" s="7">
        <v>1227120</v>
      </c>
      <c r="D95" s="7">
        <v>1944661</v>
      </c>
    </row>
    <row r="96" spans="1:4" x14ac:dyDescent="0.3">
      <c r="A96" s="15" t="s">
        <v>259</v>
      </c>
      <c r="B96" s="7">
        <v>1623378</v>
      </c>
      <c r="C96" s="7">
        <v>915658</v>
      </c>
      <c r="D96" s="7">
        <v>2539036</v>
      </c>
    </row>
    <row r="97" spans="1:4" x14ac:dyDescent="0.3">
      <c r="A97" s="15" t="s">
        <v>267</v>
      </c>
      <c r="B97" s="7">
        <v>956274</v>
      </c>
      <c r="C97" s="7">
        <v>654753</v>
      </c>
      <c r="D97" s="7">
        <v>1611027</v>
      </c>
    </row>
    <row r="98" spans="1:4" x14ac:dyDescent="0.3">
      <c r="A98" s="15" t="s">
        <v>265</v>
      </c>
      <c r="B98" s="7">
        <v>1124661</v>
      </c>
      <c r="C98" s="7">
        <v>557681</v>
      </c>
      <c r="D98" s="7">
        <v>1682342</v>
      </c>
    </row>
    <row r="99" spans="1:4" x14ac:dyDescent="0.3">
      <c r="A99" s="15" t="s">
        <v>264</v>
      </c>
      <c r="B99" s="7">
        <v>1362768</v>
      </c>
      <c r="C99" s="7">
        <v>337920</v>
      </c>
      <c r="D99" s="7">
        <v>1700688</v>
      </c>
    </row>
    <row r="100" spans="1:4" x14ac:dyDescent="0.3">
      <c r="A100" s="15" t="s">
        <v>260</v>
      </c>
      <c r="B100" s="7">
        <v>805362</v>
      </c>
      <c r="C100" s="7">
        <v>848725</v>
      </c>
      <c r="D100" s="7">
        <v>1654087</v>
      </c>
    </row>
    <row r="101" spans="1:4" x14ac:dyDescent="0.3">
      <c r="A101" s="15" t="s">
        <v>270</v>
      </c>
      <c r="B101" s="7">
        <v>1857503</v>
      </c>
      <c r="C101" s="7">
        <v>388338</v>
      </c>
      <c r="D101" s="7">
        <v>2245841</v>
      </c>
    </row>
    <row r="102" spans="1:4" x14ac:dyDescent="0.3">
      <c r="A102" s="15" t="s">
        <v>269</v>
      </c>
      <c r="B102" s="7">
        <v>922305</v>
      </c>
      <c r="C102" s="7"/>
      <c r="D102" s="7">
        <v>922305</v>
      </c>
    </row>
    <row r="103" spans="1:4" x14ac:dyDescent="0.3">
      <c r="A103" s="15" t="s">
        <v>268</v>
      </c>
      <c r="B103" s="7">
        <v>295079</v>
      </c>
      <c r="C103" s="7"/>
      <c r="D103" s="7">
        <v>295079</v>
      </c>
    </row>
    <row r="104" spans="1:4" x14ac:dyDescent="0.3">
      <c r="A104" s="15" t="s">
        <v>261</v>
      </c>
      <c r="B104" s="7">
        <v>588076</v>
      </c>
      <c r="C104" s="7"/>
      <c r="D104" s="7">
        <v>588076</v>
      </c>
    </row>
    <row r="105" spans="1:4" x14ac:dyDescent="0.3">
      <c r="A105" s="15" t="s">
        <v>254</v>
      </c>
      <c r="B105" s="7">
        <v>12615189</v>
      </c>
      <c r="C105" s="7">
        <v>5900668</v>
      </c>
      <c r="D105" s="7">
        <v>18515857</v>
      </c>
    </row>
    <row r="130" spans="1:2" x14ac:dyDescent="0.3">
      <c r="A130" t="s">
        <v>272</v>
      </c>
    </row>
    <row r="131" spans="1:2" x14ac:dyDescent="0.3">
      <c r="A131" s="8" t="s">
        <v>256</v>
      </c>
      <c r="B131" t="s">
        <v>251</v>
      </c>
    </row>
    <row r="132" spans="1:2" x14ac:dyDescent="0.3">
      <c r="A132" s="15" t="s">
        <v>18</v>
      </c>
      <c r="B132" s="7">
        <v>4176819</v>
      </c>
    </row>
    <row r="133" spans="1:2" x14ac:dyDescent="0.3">
      <c r="A133" s="15" t="s">
        <v>44</v>
      </c>
      <c r="B133" s="7">
        <v>4016819</v>
      </c>
    </row>
    <row r="134" spans="1:2" x14ac:dyDescent="0.3">
      <c r="A134" s="15" t="s">
        <v>28</v>
      </c>
      <c r="B134" s="7">
        <v>3868177</v>
      </c>
    </row>
    <row r="135" spans="1:2" x14ac:dyDescent="0.3">
      <c r="A135" s="15" t="s">
        <v>23</v>
      </c>
      <c r="B135" s="7">
        <v>3719619</v>
      </c>
    </row>
    <row r="136" spans="1:2" x14ac:dyDescent="0.3">
      <c r="A136" s="15" t="s">
        <v>78</v>
      </c>
      <c r="B136" s="7">
        <v>2734423</v>
      </c>
    </row>
    <row r="137" spans="1:2" x14ac:dyDescent="0.3">
      <c r="A137" s="15" t="s">
        <v>254</v>
      </c>
      <c r="B137" s="7">
        <v>18515857</v>
      </c>
    </row>
    <row r="160" spans="1:1" x14ac:dyDescent="0.3">
      <c r="A160" t="s">
        <v>273</v>
      </c>
    </row>
    <row r="161" spans="1:2" x14ac:dyDescent="0.3">
      <c r="A161" s="8" t="s">
        <v>256</v>
      </c>
      <c r="B161" t="s">
        <v>251</v>
      </c>
    </row>
    <row r="162" spans="1:2" x14ac:dyDescent="0.3">
      <c r="A162" s="15" t="s">
        <v>27</v>
      </c>
      <c r="B162" s="7">
        <v>1310261</v>
      </c>
    </row>
    <row r="163" spans="1:2" x14ac:dyDescent="0.3">
      <c r="A163" s="15" t="s">
        <v>15</v>
      </c>
      <c r="B163" s="7">
        <v>1637318</v>
      </c>
    </row>
    <row r="164" spans="1:2" x14ac:dyDescent="0.3">
      <c r="A164" s="15" t="s">
        <v>57</v>
      </c>
      <c r="B164" s="7">
        <v>2088415</v>
      </c>
    </row>
    <row r="165" spans="1:2" x14ac:dyDescent="0.3">
      <c r="A165" s="15" t="s">
        <v>51</v>
      </c>
      <c r="B165" s="7">
        <v>2158057</v>
      </c>
    </row>
    <row r="166" spans="1:2" x14ac:dyDescent="0.3">
      <c r="A166" s="15" t="s">
        <v>87</v>
      </c>
      <c r="B166" s="7">
        <v>2165583</v>
      </c>
    </row>
    <row r="167" spans="1:2" x14ac:dyDescent="0.3">
      <c r="A167" s="15" t="s">
        <v>42</v>
      </c>
      <c r="B167" s="7">
        <v>2186675</v>
      </c>
    </row>
    <row r="168" spans="1:2" x14ac:dyDescent="0.3">
      <c r="A168" s="15" t="s">
        <v>34</v>
      </c>
      <c r="B168" s="7">
        <v>3104294</v>
      </c>
    </row>
    <row r="169" spans="1:2" x14ac:dyDescent="0.3">
      <c r="A169" s="15" t="s">
        <v>21</v>
      </c>
      <c r="B169" s="7">
        <v>3865254</v>
      </c>
    </row>
    <row r="170" spans="1:2" x14ac:dyDescent="0.3">
      <c r="A170" s="15" t="s">
        <v>254</v>
      </c>
      <c r="B170" s="7">
        <v>18515857</v>
      </c>
    </row>
    <row r="201" spans="1:3" x14ac:dyDescent="0.3">
      <c r="A201" s="4"/>
      <c r="B201" s="5"/>
      <c r="C201" s="6"/>
    </row>
    <row r="202" spans="1:3" x14ac:dyDescent="0.3">
      <c r="A202" s="9"/>
      <c r="B202" s="10"/>
      <c r="C202" s="11"/>
    </row>
    <row r="203" spans="1:3" x14ac:dyDescent="0.3">
      <c r="A203" s="9"/>
      <c r="B203" s="10"/>
      <c r="C203" s="11"/>
    </row>
    <row r="204" spans="1:3" x14ac:dyDescent="0.3">
      <c r="A204" s="9"/>
      <c r="B204" s="10"/>
      <c r="C204" s="11"/>
    </row>
    <row r="205" spans="1:3" x14ac:dyDescent="0.3">
      <c r="A205" s="9"/>
      <c r="B205" s="10"/>
      <c r="C205" s="11"/>
    </row>
    <row r="206" spans="1:3" x14ac:dyDescent="0.3">
      <c r="A206" s="9"/>
      <c r="B206" s="10"/>
      <c r="C206" s="11"/>
    </row>
    <row r="207" spans="1:3" x14ac:dyDescent="0.3">
      <c r="A207" s="9"/>
      <c r="B207" s="10"/>
      <c r="C207" s="11"/>
    </row>
    <row r="208" spans="1:3" x14ac:dyDescent="0.3">
      <c r="A208" s="9"/>
      <c r="B208" s="10"/>
      <c r="C208" s="11"/>
    </row>
    <row r="209" spans="1:3" x14ac:dyDescent="0.3">
      <c r="A209" s="9"/>
      <c r="B209" s="10"/>
      <c r="C209" s="11"/>
    </row>
    <row r="210" spans="1:3" x14ac:dyDescent="0.3">
      <c r="A210" s="9"/>
      <c r="B210" s="10"/>
      <c r="C210" s="11"/>
    </row>
    <row r="211" spans="1:3" x14ac:dyDescent="0.3">
      <c r="A211" s="9"/>
      <c r="B211" s="10"/>
      <c r="C211" s="11"/>
    </row>
    <row r="212" spans="1:3" x14ac:dyDescent="0.3">
      <c r="A212" s="9"/>
      <c r="B212" s="10"/>
      <c r="C212" s="11"/>
    </row>
    <row r="213" spans="1:3" x14ac:dyDescent="0.3">
      <c r="A213" s="9"/>
      <c r="B213" s="10"/>
      <c r="C213" s="11"/>
    </row>
    <row r="214" spans="1:3" x14ac:dyDescent="0.3">
      <c r="A214" s="9"/>
      <c r="B214" s="10"/>
      <c r="C214" s="11"/>
    </row>
    <row r="215" spans="1:3" x14ac:dyDescent="0.3">
      <c r="A215" s="9"/>
      <c r="B215" s="10"/>
      <c r="C215" s="11"/>
    </row>
    <row r="216" spans="1:3" x14ac:dyDescent="0.3">
      <c r="A216" s="9"/>
      <c r="B216" s="10"/>
      <c r="C216" s="11"/>
    </row>
    <row r="217" spans="1:3" x14ac:dyDescent="0.3">
      <c r="A217" s="9"/>
      <c r="B217" s="10"/>
      <c r="C217" s="11"/>
    </row>
    <row r="218" spans="1:3" x14ac:dyDescent="0.3">
      <c r="A218" s="12"/>
      <c r="B218" s="13"/>
      <c r="C218" s="14"/>
    </row>
  </sheetData>
  <pageMargins left="0.7" right="0.7" top="0.75" bottom="0.75" header="0.3" footer="0.3"/>
  <drawing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tabSelected="1" zoomScale="70" zoomScaleNormal="70" workbookViewId="0">
      <selection activeCell="AB42" sqref="AB42"/>
    </sheetView>
  </sheetViews>
  <sheetFormatPr defaultRowHeight="14.4" x14ac:dyDescent="0.3"/>
  <cols>
    <col min="1" max="16384" width="8.88671875" style="17"/>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1"/>
  <sheetViews>
    <sheetView topLeftCell="F1" workbookViewId="0">
      <pane ySplit="1" topLeftCell="A2" activePane="bottomLeft" state="frozen"/>
      <selection pane="bottomLeft" activeCell="O2" sqref="O2"/>
    </sheetView>
  </sheetViews>
  <sheetFormatPr defaultRowHeight="14.4" x14ac:dyDescent="0.3"/>
  <cols>
    <col min="1" max="1" width="14" customWidth="1"/>
    <col min="2" max="2" width="24" customWidth="1"/>
    <col min="3" max="3" width="12" customWidth="1"/>
    <col min="4" max="4" width="8" customWidth="1"/>
    <col min="5" max="5" width="12" customWidth="1"/>
    <col min="6" max="6" width="16" customWidth="1"/>
    <col min="7" max="9" width="20" customWidth="1"/>
    <col min="10" max="10" width="10" customWidth="1"/>
    <col min="11" max="11" width="18" customWidth="1"/>
    <col min="12" max="12" width="20" customWidth="1"/>
  </cols>
  <sheetData>
    <row r="1" spans="1:15" x14ac:dyDescent="0.3">
      <c r="A1" s="3" t="s">
        <v>0</v>
      </c>
      <c r="B1" s="3" t="s">
        <v>1</v>
      </c>
      <c r="C1" s="3" t="s">
        <v>2</v>
      </c>
      <c r="D1" s="3" t="s">
        <v>3</v>
      </c>
      <c r="E1" s="3" t="s">
        <v>4</v>
      </c>
      <c r="F1" s="3" t="s">
        <v>5</v>
      </c>
      <c r="G1" s="3" t="s">
        <v>6</v>
      </c>
      <c r="H1" s="3" t="s">
        <v>7</v>
      </c>
      <c r="I1" s="3" t="s">
        <v>8</v>
      </c>
      <c r="J1" s="3" t="s">
        <v>9</v>
      </c>
      <c r="K1" s="3" t="s">
        <v>10</v>
      </c>
      <c r="L1" s="3" t="s">
        <v>11</v>
      </c>
      <c r="M1" s="3" t="s">
        <v>248</v>
      </c>
      <c r="N1" s="3" t="s">
        <v>249</v>
      </c>
      <c r="O1" s="3" t="s">
        <v>250</v>
      </c>
    </row>
    <row r="2" spans="1:15" x14ac:dyDescent="0.3">
      <c r="A2" t="s">
        <v>12</v>
      </c>
      <c r="B2" t="s">
        <v>13</v>
      </c>
      <c r="C2" t="s">
        <v>14</v>
      </c>
      <c r="D2">
        <v>24</v>
      </c>
      <c r="E2" t="s">
        <v>246</v>
      </c>
      <c r="F2" t="s">
        <v>15</v>
      </c>
      <c r="G2" t="s">
        <v>16</v>
      </c>
      <c r="H2" t="s">
        <v>17</v>
      </c>
      <c r="I2" t="s">
        <v>18</v>
      </c>
      <c r="J2">
        <v>6</v>
      </c>
      <c r="K2">
        <v>191604</v>
      </c>
      <c r="L2" s="2">
        <v>46173</v>
      </c>
      <c r="M2">
        <f>YEAR(GFashionHouse[[#This Row],[Last Purchase Date]])</f>
        <v>2026</v>
      </c>
      <c r="N2" t="str">
        <f>TEXT(GFashionHouse[[#This Row],[Last Purchase Date]],"MMMM")</f>
        <v>May</v>
      </c>
      <c r="O2">
        <f>MONTH(GFashionHouse[[#This Row],[Last Purchase Date]])</f>
        <v>5</v>
      </c>
    </row>
    <row r="3" spans="1:15" x14ac:dyDescent="0.3">
      <c r="A3" t="s">
        <v>19</v>
      </c>
      <c r="B3" t="s">
        <v>20</v>
      </c>
      <c r="C3" t="s">
        <v>14</v>
      </c>
      <c r="D3">
        <v>26</v>
      </c>
      <c r="E3" t="s">
        <v>246</v>
      </c>
      <c r="F3" t="s">
        <v>21</v>
      </c>
      <c r="G3" t="s">
        <v>16</v>
      </c>
      <c r="H3" t="s">
        <v>22</v>
      </c>
      <c r="I3" t="s">
        <v>23</v>
      </c>
      <c r="J3">
        <v>3</v>
      </c>
      <c r="K3">
        <v>102486</v>
      </c>
      <c r="L3" s="2">
        <v>46236</v>
      </c>
      <c r="M3">
        <f>YEAR(GFashionHouse[[#This Row],[Last Purchase Date]])</f>
        <v>2026</v>
      </c>
      <c r="N3" t="str">
        <f>TEXT(GFashionHouse[[#This Row],[Last Purchase Date]],"MMMM")</f>
        <v>August</v>
      </c>
      <c r="O3">
        <f>MONTH(GFashionHouse[[#This Row],[Last Purchase Date]])</f>
        <v>8</v>
      </c>
    </row>
    <row r="4" spans="1:15" x14ac:dyDescent="0.3">
      <c r="A4" t="s">
        <v>24</v>
      </c>
      <c r="B4" t="s">
        <v>25</v>
      </c>
      <c r="C4" t="s">
        <v>26</v>
      </c>
      <c r="D4">
        <v>36</v>
      </c>
      <c r="E4" t="s">
        <v>247</v>
      </c>
      <c r="F4" t="s">
        <v>27</v>
      </c>
      <c r="G4" t="s">
        <v>16</v>
      </c>
      <c r="H4" t="s">
        <v>17</v>
      </c>
      <c r="I4" t="s">
        <v>28</v>
      </c>
      <c r="J4">
        <v>7</v>
      </c>
      <c r="K4">
        <v>292061</v>
      </c>
      <c r="L4" s="2">
        <v>45886</v>
      </c>
      <c r="M4">
        <f>YEAR(GFashionHouse[[#This Row],[Last Purchase Date]])</f>
        <v>2025</v>
      </c>
      <c r="N4" t="str">
        <f>TEXT(GFashionHouse[[#This Row],[Last Purchase Date]],"MMMM")</f>
        <v>August</v>
      </c>
      <c r="O4">
        <f>MONTH(GFashionHouse[[#This Row],[Last Purchase Date]])</f>
        <v>8</v>
      </c>
    </row>
    <row r="5" spans="1:15" x14ac:dyDescent="0.3">
      <c r="A5" t="s">
        <v>29</v>
      </c>
      <c r="B5" t="s">
        <v>30</v>
      </c>
      <c r="C5" t="s">
        <v>14</v>
      </c>
      <c r="D5">
        <v>19</v>
      </c>
      <c r="E5" t="s">
        <v>246</v>
      </c>
      <c r="F5" t="s">
        <v>15</v>
      </c>
      <c r="G5" t="s">
        <v>16</v>
      </c>
      <c r="H5" t="s">
        <v>31</v>
      </c>
      <c r="I5" t="s">
        <v>23</v>
      </c>
      <c r="J5">
        <v>2</v>
      </c>
      <c r="K5">
        <v>56032</v>
      </c>
      <c r="L5" s="2">
        <v>45825</v>
      </c>
      <c r="M5">
        <f>YEAR(GFashionHouse[[#This Row],[Last Purchase Date]])</f>
        <v>2025</v>
      </c>
      <c r="N5" t="str">
        <f>TEXT(GFashionHouse[[#This Row],[Last Purchase Date]],"MMMM")</f>
        <v>June</v>
      </c>
      <c r="O5">
        <f>MONTH(GFashionHouse[[#This Row],[Last Purchase Date]])</f>
        <v>6</v>
      </c>
    </row>
    <row r="6" spans="1:15" x14ac:dyDescent="0.3">
      <c r="A6" t="s">
        <v>32</v>
      </c>
      <c r="B6" t="s">
        <v>33</v>
      </c>
      <c r="C6" t="s">
        <v>14</v>
      </c>
      <c r="D6">
        <v>30</v>
      </c>
      <c r="E6" t="s">
        <v>246</v>
      </c>
      <c r="F6" t="s">
        <v>34</v>
      </c>
      <c r="G6" t="s">
        <v>16</v>
      </c>
      <c r="H6" t="s">
        <v>35</v>
      </c>
      <c r="I6" t="s">
        <v>28</v>
      </c>
      <c r="J6">
        <v>8</v>
      </c>
      <c r="K6">
        <v>421408</v>
      </c>
      <c r="L6" s="2">
        <v>45919</v>
      </c>
      <c r="M6">
        <f>YEAR(GFashionHouse[[#This Row],[Last Purchase Date]])</f>
        <v>2025</v>
      </c>
      <c r="N6" t="str">
        <f>TEXT(GFashionHouse[[#This Row],[Last Purchase Date]],"MMMM")</f>
        <v>September</v>
      </c>
      <c r="O6">
        <f>MONTH(GFashionHouse[[#This Row],[Last Purchase Date]])</f>
        <v>9</v>
      </c>
    </row>
    <row r="7" spans="1:15" x14ac:dyDescent="0.3">
      <c r="A7" t="s">
        <v>36</v>
      </c>
      <c r="B7" t="s">
        <v>37</v>
      </c>
      <c r="C7" t="s">
        <v>14</v>
      </c>
      <c r="D7">
        <v>39</v>
      </c>
      <c r="E7" t="s">
        <v>247</v>
      </c>
      <c r="F7" t="s">
        <v>21</v>
      </c>
      <c r="G7" t="s">
        <v>38</v>
      </c>
      <c r="H7" t="s">
        <v>39</v>
      </c>
      <c r="I7" t="s">
        <v>23</v>
      </c>
      <c r="J7">
        <v>5</v>
      </c>
      <c r="K7">
        <v>201465</v>
      </c>
      <c r="L7" s="2">
        <v>45776</v>
      </c>
      <c r="M7">
        <f>YEAR(GFashionHouse[[#This Row],[Last Purchase Date]])</f>
        <v>2025</v>
      </c>
      <c r="N7" t="str">
        <f>TEXT(GFashionHouse[[#This Row],[Last Purchase Date]],"MMMM")</f>
        <v>April</v>
      </c>
      <c r="O7">
        <f>MONTH(GFashionHouse[[#This Row],[Last Purchase Date]])</f>
        <v>4</v>
      </c>
    </row>
    <row r="8" spans="1:15" x14ac:dyDescent="0.3">
      <c r="A8" t="s">
        <v>40</v>
      </c>
      <c r="B8" t="s">
        <v>41</v>
      </c>
      <c r="C8" t="s">
        <v>14</v>
      </c>
      <c r="D8">
        <v>18</v>
      </c>
      <c r="E8" t="s">
        <v>246</v>
      </c>
      <c r="F8" t="s">
        <v>42</v>
      </c>
      <c r="G8" t="s">
        <v>16</v>
      </c>
      <c r="H8" t="s">
        <v>43</v>
      </c>
      <c r="I8" t="s">
        <v>44</v>
      </c>
      <c r="J8">
        <v>5</v>
      </c>
      <c r="K8">
        <v>254030</v>
      </c>
      <c r="L8" s="2">
        <v>45844</v>
      </c>
      <c r="M8">
        <f>YEAR(GFashionHouse[[#This Row],[Last Purchase Date]])</f>
        <v>2025</v>
      </c>
      <c r="N8" t="str">
        <f>TEXT(GFashionHouse[[#This Row],[Last Purchase Date]],"MMMM")</f>
        <v>July</v>
      </c>
      <c r="O8">
        <f>MONTH(GFashionHouse[[#This Row],[Last Purchase Date]])</f>
        <v>7</v>
      </c>
    </row>
    <row r="9" spans="1:15" x14ac:dyDescent="0.3">
      <c r="A9" t="s">
        <v>45</v>
      </c>
      <c r="B9" t="s">
        <v>46</v>
      </c>
      <c r="C9" t="s">
        <v>14</v>
      </c>
      <c r="D9">
        <v>37</v>
      </c>
      <c r="E9" t="s">
        <v>247</v>
      </c>
      <c r="F9" t="s">
        <v>27</v>
      </c>
      <c r="G9" t="s">
        <v>16</v>
      </c>
      <c r="H9" t="s">
        <v>22</v>
      </c>
      <c r="I9" t="s">
        <v>28</v>
      </c>
      <c r="J9">
        <v>4</v>
      </c>
      <c r="K9">
        <v>112064</v>
      </c>
      <c r="L9" s="2">
        <v>46044</v>
      </c>
      <c r="M9">
        <f>YEAR(GFashionHouse[[#This Row],[Last Purchase Date]])</f>
        <v>2026</v>
      </c>
      <c r="N9" t="str">
        <f>TEXT(GFashionHouse[[#This Row],[Last Purchase Date]],"MMMM")</f>
        <v>January</v>
      </c>
      <c r="O9">
        <f>MONTH(GFashionHouse[[#This Row],[Last Purchase Date]])</f>
        <v>1</v>
      </c>
    </row>
    <row r="10" spans="1:15" x14ac:dyDescent="0.3">
      <c r="A10" t="s">
        <v>47</v>
      </c>
      <c r="B10" t="s">
        <v>48</v>
      </c>
      <c r="C10" t="s">
        <v>14</v>
      </c>
      <c r="D10">
        <v>37</v>
      </c>
      <c r="E10" t="s">
        <v>247</v>
      </c>
      <c r="F10" t="s">
        <v>42</v>
      </c>
      <c r="G10" t="s">
        <v>38</v>
      </c>
      <c r="H10" t="s">
        <v>43</v>
      </c>
      <c r="I10" t="s">
        <v>18</v>
      </c>
      <c r="J10">
        <v>6</v>
      </c>
      <c r="K10">
        <v>300126</v>
      </c>
      <c r="L10" s="2">
        <v>45681</v>
      </c>
      <c r="M10">
        <f>YEAR(GFashionHouse[[#This Row],[Last Purchase Date]])</f>
        <v>2025</v>
      </c>
      <c r="N10" t="str">
        <f>TEXT(GFashionHouse[[#This Row],[Last Purchase Date]],"MMMM")</f>
        <v>January</v>
      </c>
      <c r="O10">
        <f>MONTH(GFashionHouse[[#This Row],[Last Purchase Date]])</f>
        <v>1</v>
      </c>
    </row>
    <row r="11" spans="1:15" x14ac:dyDescent="0.3">
      <c r="A11" t="s">
        <v>49</v>
      </c>
      <c r="B11" t="s">
        <v>50</v>
      </c>
      <c r="C11" t="s">
        <v>14</v>
      </c>
      <c r="D11">
        <v>19</v>
      </c>
      <c r="E11" t="s">
        <v>246</v>
      </c>
      <c r="F11" t="s">
        <v>51</v>
      </c>
      <c r="G11" t="s">
        <v>52</v>
      </c>
      <c r="H11" t="s">
        <v>22</v>
      </c>
      <c r="I11" t="s">
        <v>18</v>
      </c>
      <c r="J11">
        <v>4</v>
      </c>
      <c r="K11">
        <v>92644</v>
      </c>
      <c r="L11" s="2">
        <v>45749</v>
      </c>
      <c r="M11">
        <f>YEAR(GFashionHouse[[#This Row],[Last Purchase Date]])</f>
        <v>2025</v>
      </c>
      <c r="N11" t="str">
        <f>TEXT(GFashionHouse[[#This Row],[Last Purchase Date]],"MMMM")</f>
        <v>April</v>
      </c>
      <c r="O11">
        <f>MONTH(GFashionHouse[[#This Row],[Last Purchase Date]])</f>
        <v>4</v>
      </c>
    </row>
    <row r="12" spans="1:15" x14ac:dyDescent="0.3">
      <c r="A12" t="s">
        <v>53</v>
      </c>
      <c r="B12" t="s">
        <v>54</v>
      </c>
      <c r="C12" t="s">
        <v>14</v>
      </c>
      <c r="D12">
        <v>22</v>
      </c>
      <c r="E12" t="s">
        <v>246</v>
      </c>
      <c r="F12" t="s">
        <v>21</v>
      </c>
      <c r="G12" t="s">
        <v>16</v>
      </c>
      <c r="H12" t="s">
        <v>22</v>
      </c>
      <c r="I12" t="s">
        <v>23</v>
      </c>
      <c r="J12">
        <v>8</v>
      </c>
      <c r="K12">
        <v>432248</v>
      </c>
      <c r="L12" s="2">
        <v>45831</v>
      </c>
      <c r="M12">
        <f>YEAR(GFashionHouse[[#This Row],[Last Purchase Date]])</f>
        <v>2025</v>
      </c>
      <c r="N12" t="str">
        <f>TEXT(GFashionHouse[[#This Row],[Last Purchase Date]],"MMMM")</f>
        <v>June</v>
      </c>
      <c r="O12">
        <f>MONTH(GFashionHouse[[#This Row],[Last Purchase Date]])</f>
        <v>6</v>
      </c>
    </row>
    <row r="13" spans="1:15" x14ac:dyDescent="0.3">
      <c r="A13" t="s">
        <v>55</v>
      </c>
      <c r="B13" t="s">
        <v>56</v>
      </c>
      <c r="C13" t="s">
        <v>14</v>
      </c>
      <c r="D13">
        <v>24</v>
      </c>
      <c r="E13" t="s">
        <v>246</v>
      </c>
      <c r="F13" t="s">
        <v>57</v>
      </c>
      <c r="G13" t="s">
        <v>38</v>
      </c>
      <c r="H13" t="s">
        <v>22</v>
      </c>
      <c r="I13" t="s">
        <v>23</v>
      </c>
      <c r="J13">
        <v>4</v>
      </c>
      <c r="K13">
        <v>153712</v>
      </c>
      <c r="L13" s="2">
        <v>46070</v>
      </c>
      <c r="M13">
        <f>YEAR(GFashionHouse[[#This Row],[Last Purchase Date]])</f>
        <v>2026</v>
      </c>
      <c r="N13" t="str">
        <f>TEXT(GFashionHouse[[#This Row],[Last Purchase Date]],"MMMM")</f>
        <v>February</v>
      </c>
      <c r="O13">
        <f>MONTH(GFashionHouse[[#This Row],[Last Purchase Date]])</f>
        <v>2</v>
      </c>
    </row>
    <row r="14" spans="1:15" x14ac:dyDescent="0.3">
      <c r="A14" t="s">
        <v>58</v>
      </c>
      <c r="B14" t="s">
        <v>59</v>
      </c>
      <c r="C14" t="s">
        <v>14</v>
      </c>
      <c r="D14">
        <v>21</v>
      </c>
      <c r="E14" t="s">
        <v>246</v>
      </c>
      <c r="F14" t="s">
        <v>57</v>
      </c>
      <c r="G14" t="s">
        <v>52</v>
      </c>
      <c r="H14" t="s">
        <v>22</v>
      </c>
      <c r="I14" t="s">
        <v>44</v>
      </c>
      <c r="J14">
        <v>4</v>
      </c>
      <c r="K14">
        <v>130900</v>
      </c>
      <c r="L14" s="2">
        <v>45727</v>
      </c>
      <c r="M14">
        <f>YEAR(GFashionHouse[[#This Row],[Last Purchase Date]])</f>
        <v>2025</v>
      </c>
      <c r="N14" t="str">
        <f>TEXT(GFashionHouse[[#This Row],[Last Purchase Date]],"MMMM")</f>
        <v>March</v>
      </c>
      <c r="O14">
        <f>MONTH(GFashionHouse[[#This Row],[Last Purchase Date]])</f>
        <v>3</v>
      </c>
    </row>
    <row r="15" spans="1:15" x14ac:dyDescent="0.3">
      <c r="A15" t="s">
        <v>60</v>
      </c>
      <c r="B15" t="s">
        <v>61</v>
      </c>
      <c r="C15" t="s">
        <v>14</v>
      </c>
      <c r="D15">
        <v>25</v>
      </c>
      <c r="E15" t="s">
        <v>246</v>
      </c>
      <c r="F15" t="s">
        <v>34</v>
      </c>
      <c r="G15" t="s">
        <v>52</v>
      </c>
      <c r="H15" t="s">
        <v>31</v>
      </c>
      <c r="I15" t="s">
        <v>28</v>
      </c>
      <c r="J15">
        <v>4</v>
      </c>
      <c r="K15">
        <v>73884</v>
      </c>
      <c r="L15" s="2">
        <v>45734</v>
      </c>
      <c r="M15">
        <f>YEAR(GFashionHouse[[#This Row],[Last Purchase Date]])</f>
        <v>2025</v>
      </c>
      <c r="N15" t="str">
        <f>TEXT(GFashionHouse[[#This Row],[Last Purchase Date]],"MMMM")</f>
        <v>March</v>
      </c>
      <c r="O15">
        <f>MONTH(GFashionHouse[[#This Row],[Last Purchase Date]])</f>
        <v>3</v>
      </c>
    </row>
    <row r="16" spans="1:15" x14ac:dyDescent="0.3">
      <c r="A16" t="s">
        <v>62</v>
      </c>
      <c r="B16" t="s">
        <v>63</v>
      </c>
      <c r="C16" t="s">
        <v>14</v>
      </c>
      <c r="D16">
        <v>28</v>
      </c>
      <c r="E16" t="s">
        <v>246</v>
      </c>
      <c r="F16" t="s">
        <v>21</v>
      </c>
      <c r="G16" t="s">
        <v>16</v>
      </c>
      <c r="H16" t="s">
        <v>17</v>
      </c>
      <c r="I16" t="s">
        <v>18</v>
      </c>
      <c r="J16">
        <v>2</v>
      </c>
      <c r="K16">
        <v>103390</v>
      </c>
      <c r="L16" s="2">
        <v>45905</v>
      </c>
      <c r="M16">
        <f>YEAR(GFashionHouse[[#This Row],[Last Purchase Date]])</f>
        <v>2025</v>
      </c>
      <c r="N16" t="str">
        <f>TEXT(GFashionHouse[[#This Row],[Last Purchase Date]],"MMMM")</f>
        <v>September</v>
      </c>
      <c r="O16">
        <f>MONTH(GFashionHouse[[#This Row],[Last Purchase Date]])</f>
        <v>9</v>
      </c>
    </row>
    <row r="17" spans="1:15" x14ac:dyDescent="0.3">
      <c r="A17" t="s">
        <v>64</v>
      </c>
      <c r="B17" t="s">
        <v>65</v>
      </c>
      <c r="C17" t="s">
        <v>14</v>
      </c>
      <c r="D17">
        <v>35</v>
      </c>
      <c r="E17" t="s">
        <v>247</v>
      </c>
      <c r="F17" t="s">
        <v>51</v>
      </c>
      <c r="G17" t="s">
        <v>38</v>
      </c>
      <c r="H17" t="s">
        <v>39</v>
      </c>
      <c r="I17" t="s">
        <v>28</v>
      </c>
      <c r="J17">
        <v>3</v>
      </c>
      <c r="K17">
        <v>146928</v>
      </c>
      <c r="L17" s="2">
        <v>45910</v>
      </c>
      <c r="M17">
        <f>YEAR(GFashionHouse[[#This Row],[Last Purchase Date]])</f>
        <v>2025</v>
      </c>
      <c r="N17" t="str">
        <f>TEXT(GFashionHouse[[#This Row],[Last Purchase Date]],"MMMM")</f>
        <v>September</v>
      </c>
      <c r="O17">
        <f>MONTH(GFashionHouse[[#This Row],[Last Purchase Date]])</f>
        <v>9</v>
      </c>
    </row>
    <row r="18" spans="1:15" x14ac:dyDescent="0.3">
      <c r="A18" t="s">
        <v>66</v>
      </c>
      <c r="B18" t="s">
        <v>67</v>
      </c>
      <c r="C18" t="s">
        <v>14</v>
      </c>
      <c r="D18">
        <v>21</v>
      </c>
      <c r="E18" t="s">
        <v>246</v>
      </c>
      <c r="F18" t="s">
        <v>15</v>
      </c>
      <c r="G18" t="s">
        <v>38</v>
      </c>
      <c r="H18" t="s">
        <v>35</v>
      </c>
      <c r="I18" t="s">
        <v>28</v>
      </c>
      <c r="J18">
        <v>7</v>
      </c>
      <c r="K18">
        <v>288533</v>
      </c>
      <c r="L18" s="2">
        <v>46095</v>
      </c>
      <c r="M18">
        <f>YEAR(GFashionHouse[[#This Row],[Last Purchase Date]])</f>
        <v>2026</v>
      </c>
      <c r="N18" t="str">
        <f>TEXT(GFashionHouse[[#This Row],[Last Purchase Date]],"MMMM")</f>
        <v>March</v>
      </c>
      <c r="O18">
        <f>MONTH(GFashionHouse[[#This Row],[Last Purchase Date]])</f>
        <v>3</v>
      </c>
    </row>
    <row r="19" spans="1:15" x14ac:dyDescent="0.3">
      <c r="A19" t="s">
        <v>68</v>
      </c>
      <c r="B19" t="s">
        <v>69</v>
      </c>
      <c r="C19" t="s">
        <v>26</v>
      </c>
      <c r="D19">
        <v>39</v>
      </c>
      <c r="E19" t="s">
        <v>247</v>
      </c>
      <c r="F19" t="s">
        <v>57</v>
      </c>
      <c r="G19" t="s">
        <v>52</v>
      </c>
      <c r="H19" t="s">
        <v>39</v>
      </c>
      <c r="I19" t="s">
        <v>18</v>
      </c>
      <c r="J19">
        <v>2</v>
      </c>
      <c r="K19">
        <v>43944</v>
      </c>
      <c r="L19" s="2">
        <v>46074</v>
      </c>
      <c r="M19">
        <f>YEAR(GFashionHouse[[#This Row],[Last Purchase Date]])</f>
        <v>2026</v>
      </c>
      <c r="N19" t="str">
        <f>TEXT(GFashionHouse[[#This Row],[Last Purchase Date]],"MMMM")</f>
        <v>February</v>
      </c>
      <c r="O19">
        <f>MONTH(GFashionHouse[[#This Row],[Last Purchase Date]])</f>
        <v>2</v>
      </c>
    </row>
    <row r="20" spans="1:15" x14ac:dyDescent="0.3">
      <c r="A20" t="s">
        <v>70</v>
      </c>
      <c r="B20" t="s">
        <v>71</v>
      </c>
      <c r="C20" t="s">
        <v>14</v>
      </c>
      <c r="D20">
        <v>24</v>
      </c>
      <c r="E20" t="s">
        <v>246</v>
      </c>
      <c r="F20" t="s">
        <v>27</v>
      </c>
      <c r="G20" t="s">
        <v>38</v>
      </c>
      <c r="H20" t="s">
        <v>17</v>
      </c>
      <c r="I20" t="s">
        <v>18</v>
      </c>
      <c r="J20">
        <v>8</v>
      </c>
      <c r="K20">
        <v>217488</v>
      </c>
      <c r="L20" s="2">
        <v>46094</v>
      </c>
      <c r="M20">
        <f>YEAR(GFashionHouse[[#This Row],[Last Purchase Date]])</f>
        <v>2026</v>
      </c>
      <c r="N20" t="str">
        <f>TEXT(GFashionHouse[[#This Row],[Last Purchase Date]],"MMMM")</f>
        <v>March</v>
      </c>
      <c r="O20">
        <f>MONTH(GFashionHouse[[#This Row],[Last Purchase Date]])</f>
        <v>3</v>
      </c>
    </row>
    <row r="21" spans="1:15" x14ac:dyDescent="0.3">
      <c r="A21" t="s">
        <v>72</v>
      </c>
      <c r="B21" t="s">
        <v>73</v>
      </c>
      <c r="C21" t="s">
        <v>14</v>
      </c>
      <c r="D21">
        <v>20</v>
      </c>
      <c r="E21" t="s">
        <v>246</v>
      </c>
      <c r="F21" t="s">
        <v>34</v>
      </c>
      <c r="G21" t="s">
        <v>16</v>
      </c>
      <c r="H21" t="s">
        <v>22</v>
      </c>
      <c r="I21" t="s">
        <v>28</v>
      </c>
      <c r="J21">
        <v>8</v>
      </c>
      <c r="K21">
        <v>432528</v>
      </c>
      <c r="L21" s="2">
        <v>45762</v>
      </c>
      <c r="M21">
        <f>YEAR(GFashionHouse[[#This Row],[Last Purchase Date]])</f>
        <v>2025</v>
      </c>
      <c r="N21" t="str">
        <f>TEXT(GFashionHouse[[#This Row],[Last Purchase Date]],"MMMM")</f>
        <v>April</v>
      </c>
      <c r="O21">
        <f>MONTH(GFashionHouse[[#This Row],[Last Purchase Date]])</f>
        <v>4</v>
      </c>
    </row>
    <row r="22" spans="1:15" x14ac:dyDescent="0.3">
      <c r="A22" t="s">
        <v>74</v>
      </c>
      <c r="B22" t="s">
        <v>75</v>
      </c>
      <c r="C22" t="s">
        <v>14</v>
      </c>
      <c r="D22">
        <v>20</v>
      </c>
      <c r="E22" t="s">
        <v>246</v>
      </c>
      <c r="F22" t="s">
        <v>51</v>
      </c>
      <c r="G22" t="s">
        <v>38</v>
      </c>
      <c r="H22" t="s">
        <v>39</v>
      </c>
      <c r="I22" t="s">
        <v>23</v>
      </c>
      <c r="J22">
        <v>4</v>
      </c>
      <c r="K22">
        <v>115596</v>
      </c>
      <c r="L22" s="2">
        <v>46078</v>
      </c>
      <c r="M22">
        <f>YEAR(GFashionHouse[[#This Row],[Last Purchase Date]])</f>
        <v>2026</v>
      </c>
      <c r="N22" t="str">
        <f>TEXT(GFashionHouse[[#This Row],[Last Purchase Date]],"MMMM")</f>
        <v>February</v>
      </c>
      <c r="O22">
        <f>MONTH(GFashionHouse[[#This Row],[Last Purchase Date]])</f>
        <v>2</v>
      </c>
    </row>
    <row r="23" spans="1:15" x14ac:dyDescent="0.3">
      <c r="A23" t="s">
        <v>76</v>
      </c>
      <c r="B23" t="s">
        <v>77</v>
      </c>
      <c r="C23" t="s">
        <v>14</v>
      </c>
      <c r="D23">
        <v>19</v>
      </c>
      <c r="E23" t="s">
        <v>246</v>
      </c>
      <c r="F23" t="s">
        <v>15</v>
      </c>
      <c r="G23" t="s">
        <v>38</v>
      </c>
      <c r="H23" t="s">
        <v>17</v>
      </c>
      <c r="I23" t="s">
        <v>78</v>
      </c>
      <c r="J23">
        <v>3</v>
      </c>
      <c r="K23">
        <v>128508</v>
      </c>
      <c r="L23" s="2">
        <v>45664</v>
      </c>
      <c r="M23">
        <f>YEAR(GFashionHouse[[#This Row],[Last Purchase Date]])</f>
        <v>2025</v>
      </c>
      <c r="N23" t="str">
        <f>TEXT(GFashionHouse[[#This Row],[Last Purchase Date]],"MMMM")</f>
        <v>January</v>
      </c>
      <c r="O23">
        <f>MONTH(GFashionHouse[[#This Row],[Last Purchase Date]])</f>
        <v>1</v>
      </c>
    </row>
    <row r="24" spans="1:15" x14ac:dyDescent="0.3">
      <c r="A24" t="s">
        <v>79</v>
      </c>
      <c r="B24" t="s">
        <v>80</v>
      </c>
      <c r="C24" t="s">
        <v>14</v>
      </c>
      <c r="D24">
        <v>31</v>
      </c>
      <c r="E24" t="s">
        <v>247</v>
      </c>
      <c r="F24" t="s">
        <v>21</v>
      </c>
      <c r="G24" t="s">
        <v>52</v>
      </c>
      <c r="H24" t="s">
        <v>31</v>
      </c>
      <c r="I24" t="s">
        <v>44</v>
      </c>
      <c r="J24">
        <v>8</v>
      </c>
      <c r="K24">
        <v>225152</v>
      </c>
      <c r="L24" s="2">
        <v>45856</v>
      </c>
      <c r="M24">
        <f>YEAR(GFashionHouse[[#This Row],[Last Purchase Date]])</f>
        <v>2025</v>
      </c>
      <c r="N24" t="str">
        <f>TEXT(GFashionHouse[[#This Row],[Last Purchase Date]],"MMMM")</f>
        <v>July</v>
      </c>
      <c r="O24">
        <f>MONTH(GFashionHouse[[#This Row],[Last Purchase Date]])</f>
        <v>7</v>
      </c>
    </row>
    <row r="25" spans="1:15" x14ac:dyDescent="0.3">
      <c r="A25" t="s">
        <v>81</v>
      </c>
      <c r="B25" t="s">
        <v>82</v>
      </c>
      <c r="C25" t="s">
        <v>26</v>
      </c>
      <c r="D25">
        <v>35</v>
      </c>
      <c r="E25" t="s">
        <v>247</v>
      </c>
      <c r="F25" t="s">
        <v>34</v>
      </c>
      <c r="G25" t="s">
        <v>16</v>
      </c>
      <c r="H25" t="s">
        <v>17</v>
      </c>
      <c r="I25" t="s">
        <v>44</v>
      </c>
      <c r="J25">
        <v>1</v>
      </c>
      <c r="K25">
        <v>38552</v>
      </c>
      <c r="L25" s="2">
        <v>45720</v>
      </c>
      <c r="M25">
        <f>YEAR(GFashionHouse[[#This Row],[Last Purchase Date]])</f>
        <v>2025</v>
      </c>
      <c r="N25" t="str">
        <f>TEXT(GFashionHouse[[#This Row],[Last Purchase Date]],"MMMM")</f>
        <v>March</v>
      </c>
      <c r="O25">
        <f>MONTH(GFashionHouse[[#This Row],[Last Purchase Date]])</f>
        <v>3</v>
      </c>
    </row>
    <row r="26" spans="1:15" x14ac:dyDescent="0.3">
      <c r="A26" t="s">
        <v>83</v>
      </c>
      <c r="B26" t="s">
        <v>84</v>
      </c>
      <c r="C26" t="s">
        <v>26</v>
      </c>
      <c r="D26">
        <v>34</v>
      </c>
      <c r="E26" t="s">
        <v>247</v>
      </c>
      <c r="F26" t="s">
        <v>42</v>
      </c>
      <c r="G26" t="s">
        <v>52</v>
      </c>
      <c r="H26" t="s">
        <v>31</v>
      </c>
      <c r="I26" t="s">
        <v>44</v>
      </c>
      <c r="J26">
        <v>3</v>
      </c>
      <c r="K26">
        <v>65181</v>
      </c>
      <c r="L26" s="2">
        <v>46182</v>
      </c>
      <c r="M26">
        <f>YEAR(GFashionHouse[[#This Row],[Last Purchase Date]])</f>
        <v>2026</v>
      </c>
      <c r="N26" t="str">
        <f>TEXT(GFashionHouse[[#This Row],[Last Purchase Date]],"MMMM")</f>
        <v>June</v>
      </c>
      <c r="O26">
        <f>MONTH(GFashionHouse[[#This Row],[Last Purchase Date]])</f>
        <v>6</v>
      </c>
    </row>
    <row r="27" spans="1:15" x14ac:dyDescent="0.3">
      <c r="A27" t="s">
        <v>85</v>
      </c>
      <c r="B27" t="s">
        <v>86</v>
      </c>
      <c r="C27" t="s">
        <v>14</v>
      </c>
      <c r="D27">
        <v>20</v>
      </c>
      <c r="E27" t="s">
        <v>246</v>
      </c>
      <c r="F27" t="s">
        <v>87</v>
      </c>
      <c r="G27" t="s">
        <v>16</v>
      </c>
      <c r="H27" t="s">
        <v>22</v>
      </c>
      <c r="I27" t="s">
        <v>28</v>
      </c>
      <c r="J27">
        <v>4</v>
      </c>
      <c r="K27">
        <v>177844</v>
      </c>
      <c r="L27" s="2">
        <v>45784</v>
      </c>
      <c r="M27">
        <f>YEAR(GFashionHouse[[#This Row],[Last Purchase Date]])</f>
        <v>2025</v>
      </c>
      <c r="N27" t="str">
        <f>TEXT(GFashionHouse[[#This Row],[Last Purchase Date]],"MMMM")</f>
        <v>May</v>
      </c>
      <c r="O27">
        <f>MONTH(GFashionHouse[[#This Row],[Last Purchase Date]])</f>
        <v>5</v>
      </c>
    </row>
    <row r="28" spans="1:15" x14ac:dyDescent="0.3">
      <c r="A28" t="s">
        <v>88</v>
      </c>
      <c r="B28" t="s">
        <v>89</v>
      </c>
      <c r="C28" t="s">
        <v>26</v>
      </c>
      <c r="D28">
        <v>37</v>
      </c>
      <c r="E28" t="s">
        <v>247</v>
      </c>
      <c r="F28" t="s">
        <v>57</v>
      </c>
      <c r="G28" t="s">
        <v>38</v>
      </c>
      <c r="H28" t="s">
        <v>39</v>
      </c>
      <c r="I28" t="s">
        <v>78</v>
      </c>
      <c r="J28">
        <v>2</v>
      </c>
      <c r="K28">
        <v>90948</v>
      </c>
      <c r="L28" s="2">
        <v>46259</v>
      </c>
      <c r="M28">
        <f>YEAR(GFashionHouse[[#This Row],[Last Purchase Date]])</f>
        <v>2026</v>
      </c>
      <c r="N28" t="str">
        <f>TEXT(GFashionHouse[[#This Row],[Last Purchase Date]],"MMMM")</f>
        <v>August</v>
      </c>
      <c r="O28">
        <f>MONTH(GFashionHouse[[#This Row],[Last Purchase Date]])</f>
        <v>8</v>
      </c>
    </row>
    <row r="29" spans="1:15" x14ac:dyDescent="0.3">
      <c r="A29" t="s">
        <v>90</v>
      </c>
      <c r="B29" t="s">
        <v>91</v>
      </c>
      <c r="C29" t="s">
        <v>14</v>
      </c>
      <c r="D29">
        <v>25</v>
      </c>
      <c r="E29" t="s">
        <v>246</v>
      </c>
      <c r="F29" t="s">
        <v>21</v>
      </c>
      <c r="G29" t="s">
        <v>38</v>
      </c>
      <c r="H29" t="s">
        <v>43</v>
      </c>
      <c r="I29" t="s">
        <v>28</v>
      </c>
      <c r="J29">
        <v>5</v>
      </c>
      <c r="K29">
        <v>219690</v>
      </c>
      <c r="L29" s="2">
        <v>45796</v>
      </c>
      <c r="M29">
        <f>YEAR(GFashionHouse[[#This Row],[Last Purchase Date]])</f>
        <v>2025</v>
      </c>
      <c r="N29" t="str">
        <f>TEXT(GFashionHouse[[#This Row],[Last Purchase Date]],"MMMM")</f>
        <v>May</v>
      </c>
      <c r="O29">
        <f>MONTH(GFashionHouse[[#This Row],[Last Purchase Date]])</f>
        <v>5</v>
      </c>
    </row>
    <row r="30" spans="1:15" x14ac:dyDescent="0.3">
      <c r="A30" t="s">
        <v>92</v>
      </c>
      <c r="B30" t="s">
        <v>93</v>
      </c>
      <c r="C30" t="s">
        <v>26</v>
      </c>
      <c r="D30">
        <v>18</v>
      </c>
      <c r="E30" t="s">
        <v>246</v>
      </c>
      <c r="F30" t="s">
        <v>42</v>
      </c>
      <c r="G30" t="s">
        <v>16</v>
      </c>
      <c r="H30" t="s">
        <v>39</v>
      </c>
      <c r="I30" t="s">
        <v>44</v>
      </c>
      <c r="J30">
        <v>8</v>
      </c>
      <c r="K30">
        <v>439168</v>
      </c>
      <c r="L30" s="2">
        <v>45764</v>
      </c>
      <c r="M30">
        <f>YEAR(GFashionHouse[[#This Row],[Last Purchase Date]])</f>
        <v>2025</v>
      </c>
      <c r="N30" t="str">
        <f>TEXT(GFashionHouse[[#This Row],[Last Purchase Date]],"MMMM")</f>
        <v>April</v>
      </c>
      <c r="O30">
        <f>MONTH(GFashionHouse[[#This Row],[Last Purchase Date]])</f>
        <v>4</v>
      </c>
    </row>
    <row r="31" spans="1:15" x14ac:dyDescent="0.3">
      <c r="A31" t="s">
        <v>94</v>
      </c>
      <c r="B31" t="s">
        <v>95</v>
      </c>
      <c r="C31" t="s">
        <v>14</v>
      </c>
      <c r="D31">
        <v>26</v>
      </c>
      <c r="E31" t="s">
        <v>246</v>
      </c>
      <c r="F31" t="s">
        <v>87</v>
      </c>
      <c r="G31" t="s">
        <v>38</v>
      </c>
      <c r="H31" t="s">
        <v>43</v>
      </c>
      <c r="I31" t="s">
        <v>18</v>
      </c>
      <c r="J31">
        <v>3</v>
      </c>
      <c r="K31">
        <v>122616</v>
      </c>
      <c r="L31" s="2">
        <v>45732</v>
      </c>
      <c r="M31">
        <f>YEAR(GFashionHouse[[#This Row],[Last Purchase Date]])</f>
        <v>2025</v>
      </c>
      <c r="N31" t="str">
        <f>TEXT(GFashionHouse[[#This Row],[Last Purchase Date]],"MMMM")</f>
        <v>March</v>
      </c>
      <c r="O31">
        <f>MONTH(GFashionHouse[[#This Row],[Last Purchase Date]])</f>
        <v>3</v>
      </c>
    </row>
    <row r="32" spans="1:15" x14ac:dyDescent="0.3">
      <c r="A32" t="s">
        <v>96</v>
      </c>
      <c r="B32" t="s">
        <v>97</v>
      </c>
      <c r="C32" t="s">
        <v>14</v>
      </c>
      <c r="D32">
        <v>32</v>
      </c>
      <c r="E32" t="s">
        <v>247</v>
      </c>
      <c r="F32" t="s">
        <v>21</v>
      </c>
      <c r="G32" t="s">
        <v>16</v>
      </c>
      <c r="H32" t="s">
        <v>31</v>
      </c>
      <c r="I32" t="s">
        <v>18</v>
      </c>
      <c r="J32">
        <v>5</v>
      </c>
      <c r="K32">
        <v>263320</v>
      </c>
      <c r="L32" s="2">
        <v>45670</v>
      </c>
      <c r="M32">
        <f>YEAR(GFashionHouse[[#This Row],[Last Purchase Date]])</f>
        <v>2025</v>
      </c>
      <c r="N32" t="str">
        <f>TEXT(GFashionHouse[[#This Row],[Last Purchase Date]],"MMMM")</f>
        <v>January</v>
      </c>
      <c r="O32">
        <f>MONTH(GFashionHouse[[#This Row],[Last Purchase Date]])</f>
        <v>1</v>
      </c>
    </row>
    <row r="33" spans="1:15" x14ac:dyDescent="0.3">
      <c r="A33" t="s">
        <v>98</v>
      </c>
      <c r="B33" t="s">
        <v>99</v>
      </c>
      <c r="C33" t="s">
        <v>14</v>
      </c>
      <c r="D33">
        <v>26</v>
      </c>
      <c r="E33" t="s">
        <v>246</v>
      </c>
      <c r="F33" t="s">
        <v>27</v>
      </c>
      <c r="G33" t="s">
        <v>38</v>
      </c>
      <c r="H33" t="s">
        <v>43</v>
      </c>
      <c r="I33" t="s">
        <v>44</v>
      </c>
      <c r="J33">
        <v>2</v>
      </c>
      <c r="K33">
        <v>50028</v>
      </c>
      <c r="L33" s="2">
        <v>46228</v>
      </c>
      <c r="M33">
        <f>YEAR(GFashionHouse[[#This Row],[Last Purchase Date]])</f>
        <v>2026</v>
      </c>
      <c r="N33" t="str">
        <f>TEXT(GFashionHouse[[#This Row],[Last Purchase Date]],"MMMM")</f>
        <v>July</v>
      </c>
      <c r="O33">
        <f>MONTH(GFashionHouse[[#This Row],[Last Purchase Date]])</f>
        <v>7</v>
      </c>
    </row>
    <row r="34" spans="1:15" x14ac:dyDescent="0.3">
      <c r="A34" t="s">
        <v>100</v>
      </c>
      <c r="B34" t="s">
        <v>101</v>
      </c>
      <c r="C34" t="s">
        <v>14</v>
      </c>
      <c r="D34">
        <v>24</v>
      </c>
      <c r="E34" t="s">
        <v>246</v>
      </c>
      <c r="F34" t="s">
        <v>51</v>
      </c>
      <c r="G34" t="s">
        <v>38</v>
      </c>
      <c r="H34" t="s">
        <v>31</v>
      </c>
      <c r="I34" t="s">
        <v>28</v>
      </c>
      <c r="J34">
        <v>6</v>
      </c>
      <c r="K34">
        <v>188052</v>
      </c>
      <c r="L34" s="2">
        <v>45932</v>
      </c>
      <c r="M34">
        <f>YEAR(GFashionHouse[[#This Row],[Last Purchase Date]])</f>
        <v>2025</v>
      </c>
      <c r="N34" t="str">
        <f>TEXT(GFashionHouse[[#This Row],[Last Purchase Date]],"MMMM")</f>
        <v>October</v>
      </c>
      <c r="O34">
        <f>MONTH(GFashionHouse[[#This Row],[Last Purchase Date]])</f>
        <v>10</v>
      </c>
    </row>
    <row r="35" spans="1:15" x14ac:dyDescent="0.3">
      <c r="A35" t="s">
        <v>102</v>
      </c>
      <c r="B35" t="s">
        <v>103</v>
      </c>
      <c r="C35" t="s">
        <v>14</v>
      </c>
      <c r="D35">
        <v>38</v>
      </c>
      <c r="E35" t="s">
        <v>247</v>
      </c>
      <c r="F35" t="s">
        <v>34</v>
      </c>
      <c r="G35" t="s">
        <v>38</v>
      </c>
      <c r="H35" t="s">
        <v>39</v>
      </c>
      <c r="I35" t="s">
        <v>78</v>
      </c>
      <c r="J35">
        <v>7</v>
      </c>
      <c r="K35">
        <v>252924</v>
      </c>
      <c r="L35" s="2">
        <v>45707</v>
      </c>
      <c r="M35">
        <f>YEAR(GFashionHouse[[#This Row],[Last Purchase Date]])</f>
        <v>2025</v>
      </c>
      <c r="N35" t="str">
        <f>TEXT(GFashionHouse[[#This Row],[Last Purchase Date]],"MMMM")</f>
        <v>February</v>
      </c>
      <c r="O35">
        <f>MONTH(GFashionHouse[[#This Row],[Last Purchase Date]])</f>
        <v>2</v>
      </c>
    </row>
    <row r="36" spans="1:15" x14ac:dyDescent="0.3">
      <c r="A36" t="s">
        <v>104</v>
      </c>
      <c r="B36" t="s">
        <v>105</v>
      </c>
      <c r="C36" t="s">
        <v>14</v>
      </c>
      <c r="D36">
        <v>23</v>
      </c>
      <c r="E36" t="s">
        <v>246</v>
      </c>
      <c r="F36" t="s">
        <v>34</v>
      </c>
      <c r="G36" t="s">
        <v>52</v>
      </c>
      <c r="H36" t="s">
        <v>31</v>
      </c>
      <c r="I36" t="s">
        <v>18</v>
      </c>
      <c r="J36">
        <v>8</v>
      </c>
      <c r="K36">
        <v>433232</v>
      </c>
      <c r="L36" s="2">
        <v>46099</v>
      </c>
      <c r="M36">
        <f>YEAR(GFashionHouse[[#This Row],[Last Purchase Date]])</f>
        <v>2026</v>
      </c>
      <c r="N36" t="str">
        <f>TEXT(GFashionHouse[[#This Row],[Last Purchase Date]],"MMMM")</f>
        <v>March</v>
      </c>
      <c r="O36">
        <f>MONTH(GFashionHouse[[#This Row],[Last Purchase Date]])</f>
        <v>3</v>
      </c>
    </row>
    <row r="37" spans="1:15" x14ac:dyDescent="0.3">
      <c r="A37" t="s">
        <v>106</v>
      </c>
      <c r="B37" t="s">
        <v>107</v>
      </c>
      <c r="C37" t="s">
        <v>14</v>
      </c>
      <c r="D37">
        <v>35</v>
      </c>
      <c r="E37" t="s">
        <v>247</v>
      </c>
      <c r="F37" t="s">
        <v>27</v>
      </c>
      <c r="G37" t="s">
        <v>38</v>
      </c>
      <c r="H37" t="s">
        <v>39</v>
      </c>
      <c r="I37" t="s">
        <v>28</v>
      </c>
      <c r="J37">
        <v>1</v>
      </c>
      <c r="K37">
        <v>42196</v>
      </c>
      <c r="L37" s="2">
        <v>46258</v>
      </c>
      <c r="M37">
        <f>YEAR(GFashionHouse[[#This Row],[Last Purchase Date]])</f>
        <v>2026</v>
      </c>
      <c r="N37" t="str">
        <f>TEXT(GFashionHouse[[#This Row],[Last Purchase Date]],"MMMM")</f>
        <v>August</v>
      </c>
      <c r="O37">
        <f>MONTH(GFashionHouse[[#This Row],[Last Purchase Date]])</f>
        <v>8</v>
      </c>
    </row>
    <row r="38" spans="1:15" x14ac:dyDescent="0.3">
      <c r="A38" t="s">
        <v>108</v>
      </c>
      <c r="B38" t="s">
        <v>109</v>
      </c>
      <c r="C38" t="s">
        <v>26</v>
      </c>
      <c r="D38">
        <v>27</v>
      </c>
      <c r="E38" t="s">
        <v>246</v>
      </c>
      <c r="F38" t="s">
        <v>87</v>
      </c>
      <c r="G38" t="s">
        <v>16</v>
      </c>
      <c r="H38" t="s">
        <v>39</v>
      </c>
      <c r="I38" t="s">
        <v>28</v>
      </c>
      <c r="J38">
        <v>6</v>
      </c>
      <c r="K38">
        <v>123684</v>
      </c>
      <c r="L38" s="2">
        <v>46028</v>
      </c>
      <c r="M38">
        <f>YEAR(GFashionHouse[[#This Row],[Last Purchase Date]])</f>
        <v>2026</v>
      </c>
      <c r="N38" t="str">
        <f>TEXT(GFashionHouse[[#This Row],[Last Purchase Date]],"MMMM")</f>
        <v>January</v>
      </c>
      <c r="O38">
        <f>MONTH(GFashionHouse[[#This Row],[Last Purchase Date]])</f>
        <v>1</v>
      </c>
    </row>
    <row r="39" spans="1:15" x14ac:dyDescent="0.3">
      <c r="A39" t="s">
        <v>110</v>
      </c>
      <c r="B39" t="s">
        <v>111</v>
      </c>
      <c r="C39" t="s">
        <v>14</v>
      </c>
      <c r="D39">
        <v>29</v>
      </c>
      <c r="E39" t="s">
        <v>246</v>
      </c>
      <c r="F39" t="s">
        <v>27</v>
      </c>
      <c r="G39" t="s">
        <v>52</v>
      </c>
      <c r="H39" t="s">
        <v>17</v>
      </c>
      <c r="I39" t="s">
        <v>28</v>
      </c>
      <c r="J39">
        <v>7</v>
      </c>
      <c r="K39">
        <v>196896</v>
      </c>
      <c r="L39" s="2">
        <v>45904</v>
      </c>
      <c r="M39">
        <f>YEAR(GFashionHouse[[#This Row],[Last Purchase Date]])</f>
        <v>2025</v>
      </c>
      <c r="N39" t="str">
        <f>TEXT(GFashionHouse[[#This Row],[Last Purchase Date]],"MMMM")</f>
        <v>September</v>
      </c>
      <c r="O39">
        <f>MONTH(GFashionHouse[[#This Row],[Last Purchase Date]])</f>
        <v>9</v>
      </c>
    </row>
    <row r="40" spans="1:15" x14ac:dyDescent="0.3">
      <c r="A40" t="s">
        <v>112</v>
      </c>
      <c r="B40" t="s">
        <v>113</v>
      </c>
      <c r="C40" t="s">
        <v>26</v>
      </c>
      <c r="D40">
        <v>23</v>
      </c>
      <c r="E40" t="s">
        <v>246</v>
      </c>
      <c r="F40" t="s">
        <v>21</v>
      </c>
      <c r="G40" t="s">
        <v>52</v>
      </c>
      <c r="H40" t="s">
        <v>35</v>
      </c>
      <c r="I40" t="s">
        <v>28</v>
      </c>
      <c r="J40">
        <v>6</v>
      </c>
      <c r="K40">
        <v>269892</v>
      </c>
      <c r="L40" s="2">
        <v>45916</v>
      </c>
      <c r="M40">
        <f>YEAR(GFashionHouse[[#This Row],[Last Purchase Date]])</f>
        <v>2025</v>
      </c>
      <c r="N40" t="str">
        <f>TEXT(GFashionHouse[[#This Row],[Last Purchase Date]],"MMMM")</f>
        <v>September</v>
      </c>
      <c r="O40">
        <f>MONTH(GFashionHouse[[#This Row],[Last Purchase Date]])</f>
        <v>9</v>
      </c>
    </row>
    <row r="41" spans="1:15" x14ac:dyDescent="0.3">
      <c r="A41" t="s">
        <v>114</v>
      </c>
      <c r="B41" t="s">
        <v>115</v>
      </c>
      <c r="C41" t="s">
        <v>14</v>
      </c>
      <c r="D41">
        <v>30</v>
      </c>
      <c r="E41" t="s">
        <v>246</v>
      </c>
      <c r="F41" t="s">
        <v>87</v>
      </c>
      <c r="G41" t="s">
        <v>38</v>
      </c>
      <c r="H41" t="s">
        <v>43</v>
      </c>
      <c r="I41" t="s">
        <v>78</v>
      </c>
      <c r="J41">
        <v>1</v>
      </c>
      <c r="K41">
        <v>48847</v>
      </c>
      <c r="L41" s="2">
        <v>45889</v>
      </c>
      <c r="M41">
        <f>YEAR(GFashionHouse[[#This Row],[Last Purchase Date]])</f>
        <v>2025</v>
      </c>
      <c r="N41" t="str">
        <f>TEXT(GFashionHouse[[#This Row],[Last Purchase Date]],"MMMM")</f>
        <v>August</v>
      </c>
      <c r="O41">
        <f>MONTH(GFashionHouse[[#This Row],[Last Purchase Date]])</f>
        <v>8</v>
      </c>
    </row>
    <row r="42" spans="1:15" x14ac:dyDescent="0.3">
      <c r="A42" t="s">
        <v>116</v>
      </c>
      <c r="B42" t="s">
        <v>117</v>
      </c>
      <c r="C42" t="s">
        <v>14</v>
      </c>
      <c r="D42">
        <v>25</v>
      </c>
      <c r="E42" t="s">
        <v>246</v>
      </c>
      <c r="F42" t="s">
        <v>15</v>
      </c>
      <c r="G42" t="s">
        <v>38</v>
      </c>
      <c r="H42" t="s">
        <v>43</v>
      </c>
      <c r="I42" t="s">
        <v>28</v>
      </c>
      <c r="J42">
        <v>4</v>
      </c>
      <c r="K42">
        <v>78200</v>
      </c>
      <c r="L42" s="2">
        <v>45859</v>
      </c>
      <c r="M42">
        <f>YEAR(GFashionHouse[[#This Row],[Last Purchase Date]])</f>
        <v>2025</v>
      </c>
      <c r="N42" t="str">
        <f>TEXT(GFashionHouse[[#This Row],[Last Purchase Date]],"MMMM")</f>
        <v>July</v>
      </c>
      <c r="O42">
        <f>MONTH(GFashionHouse[[#This Row],[Last Purchase Date]])</f>
        <v>7</v>
      </c>
    </row>
    <row r="43" spans="1:15" x14ac:dyDescent="0.3">
      <c r="A43" t="s">
        <v>118</v>
      </c>
      <c r="B43" t="s">
        <v>119</v>
      </c>
      <c r="C43" t="s">
        <v>14</v>
      </c>
      <c r="D43">
        <v>26</v>
      </c>
      <c r="E43" t="s">
        <v>246</v>
      </c>
      <c r="F43" t="s">
        <v>57</v>
      </c>
      <c r="G43" t="s">
        <v>52</v>
      </c>
      <c r="H43" t="s">
        <v>31</v>
      </c>
      <c r="I43" t="s">
        <v>78</v>
      </c>
      <c r="J43">
        <v>6</v>
      </c>
      <c r="K43">
        <v>308304</v>
      </c>
      <c r="L43" s="2">
        <v>46071</v>
      </c>
      <c r="M43">
        <f>YEAR(GFashionHouse[[#This Row],[Last Purchase Date]])</f>
        <v>2026</v>
      </c>
      <c r="N43" t="str">
        <f>TEXT(GFashionHouse[[#This Row],[Last Purchase Date]],"MMMM")</f>
        <v>February</v>
      </c>
      <c r="O43">
        <f>MONTH(GFashionHouse[[#This Row],[Last Purchase Date]])</f>
        <v>2</v>
      </c>
    </row>
    <row r="44" spans="1:15" x14ac:dyDescent="0.3">
      <c r="A44" t="s">
        <v>120</v>
      </c>
      <c r="B44" t="s">
        <v>121</v>
      </c>
      <c r="C44" t="s">
        <v>14</v>
      </c>
      <c r="D44">
        <v>23</v>
      </c>
      <c r="E44" t="s">
        <v>246</v>
      </c>
      <c r="F44" t="s">
        <v>15</v>
      </c>
      <c r="G44" t="s">
        <v>38</v>
      </c>
      <c r="H44" t="s">
        <v>35</v>
      </c>
      <c r="I44" t="s">
        <v>78</v>
      </c>
      <c r="J44">
        <v>5</v>
      </c>
      <c r="K44">
        <v>102535</v>
      </c>
      <c r="L44" s="2">
        <v>45773</v>
      </c>
      <c r="M44">
        <f>YEAR(GFashionHouse[[#This Row],[Last Purchase Date]])</f>
        <v>2025</v>
      </c>
      <c r="N44" t="str">
        <f>TEXT(GFashionHouse[[#This Row],[Last Purchase Date]],"MMMM")</f>
        <v>April</v>
      </c>
      <c r="O44">
        <f>MONTH(GFashionHouse[[#This Row],[Last Purchase Date]])</f>
        <v>4</v>
      </c>
    </row>
    <row r="45" spans="1:15" x14ac:dyDescent="0.3">
      <c r="A45" t="s">
        <v>122</v>
      </c>
      <c r="B45" t="s">
        <v>123</v>
      </c>
      <c r="C45" t="s">
        <v>14</v>
      </c>
      <c r="D45">
        <v>31</v>
      </c>
      <c r="E45" t="s">
        <v>247</v>
      </c>
      <c r="F45" t="s">
        <v>87</v>
      </c>
      <c r="G45" t="s">
        <v>38</v>
      </c>
      <c r="H45" t="s">
        <v>31</v>
      </c>
      <c r="I45" t="s">
        <v>23</v>
      </c>
      <c r="J45">
        <v>2</v>
      </c>
      <c r="K45">
        <v>86488</v>
      </c>
      <c r="L45" s="2">
        <v>46252</v>
      </c>
      <c r="M45">
        <f>YEAR(GFashionHouse[[#This Row],[Last Purchase Date]])</f>
        <v>2026</v>
      </c>
      <c r="N45" t="str">
        <f>TEXT(GFashionHouse[[#This Row],[Last Purchase Date]],"MMMM")</f>
        <v>August</v>
      </c>
      <c r="O45">
        <f>MONTH(GFashionHouse[[#This Row],[Last Purchase Date]])</f>
        <v>8</v>
      </c>
    </row>
    <row r="46" spans="1:15" x14ac:dyDescent="0.3">
      <c r="A46" t="s">
        <v>124</v>
      </c>
      <c r="B46" t="s">
        <v>125</v>
      </c>
      <c r="C46" t="s">
        <v>14</v>
      </c>
      <c r="D46">
        <v>18</v>
      </c>
      <c r="E46" t="s">
        <v>246</v>
      </c>
      <c r="F46" t="s">
        <v>42</v>
      </c>
      <c r="G46" t="s">
        <v>16</v>
      </c>
      <c r="H46" t="s">
        <v>43</v>
      </c>
      <c r="I46" t="s">
        <v>44</v>
      </c>
      <c r="J46">
        <v>4</v>
      </c>
      <c r="K46">
        <v>167476</v>
      </c>
      <c r="L46" s="2">
        <v>46103</v>
      </c>
      <c r="M46">
        <f>YEAR(GFashionHouse[[#This Row],[Last Purchase Date]])</f>
        <v>2026</v>
      </c>
      <c r="N46" t="str">
        <f>TEXT(GFashionHouse[[#This Row],[Last Purchase Date]],"MMMM")</f>
        <v>March</v>
      </c>
      <c r="O46">
        <f>MONTH(GFashionHouse[[#This Row],[Last Purchase Date]])</f>
        <v>3</v>
      </c>
    </row>
    <row r="47" spans="1:15" x14ac:dyDescent="0.3">
      <c r="A47" t="s">
        <v>126</v>
      </c>
      <c r="B47" t="s">
        <v>127</v>
      </c>
      <c r="C47" t="s">
        <v>14</v>
      </c>
      <c r="D47">
        <v>28</v>
      </c>
      <c r="E47" t="s">
        <v>246</v>
      </c>
      <c r="F47" t="s">
        <v>21</v>
      </c>
      <c r="G47" t="s">
        <v>16</v>
      </c>
      <c r="H47" t="s">
        <v>17</v>
      </c>
      <c r="I47" t="s">
        <v>78</v>
      </c>
      <c r="J47">
        <v>2</v>
      </c>
      <c r="K47">
        <v>75362</v>
      </c>
      <c r="L47" s="2">
        <v>46181</v>
      </c>
      <c r="M47">
        <f>YEAR(GFashionHouse[[#This Row],[Last Purchase Date]])</f>
        <v>2026</v>
      </c>
      <c r="N47" t="str">
        <f>TEXT(GFashionHouse[[#This Row],[Last Purchase Date]],"MMMM")</f>
        <v>June</v>
      </c>
      <c r="O47">
        <f>MONTH(GFashionHouse[[#This Row],[Last Purchase Date]])</f>
        <v>6</v>
      </c>
    </row>
    <row r="48" spans="1:15" x14ac:dyDescent="0.3">
      <c r="A48" t="s">
        <v>128</v>
      </c>
      <c r="B48" t="s">
        <v>129</v>
      </c>
      <c r="C48" t="s">
        <v>14</v>
      </c>
      <c r="D48">
        <v>30</v>
      </c>
      <c r="E48" t="s">
        <v>246</v>
      </c>
      <c r="F48" t="s">
        <v>87</v>
      </c>
      <c r="G48" t="s">
        <v>38</v>
      </c>
      <c r="H48" t="s">
        <v>35</v>
      </c>
      <c r="I48" t="s">
        <v>23</v>
      </c>
      <c r="J48">
        <v>5</v>
      </c>
      <c r="K48">
        <v>271665</v>
      </c>
      <c r="L48" s="2">
        <v>45792</v>
      </c>
      <c r="M48">
        <f>YEAR(GFashionHouse[[#This Row],[Last Purchase Date]])</f>
        <v>2025</v>
      </c>
      <c r="N48" t="str">
        <f>TEXT(GFashionHouse[[#This Row],[Last Purchase Date]],"MMMM")</f>
        <v>May</v>
      </c>
      <c r="O48">
        <f>MONTH(GFashionHouse[[#This Row],[Last Purchase Date]])</f>
        <v>5</v>
      </c>
    </row>
    <row r="49" spans="1:15" x14ac:dyDescent="0.3">
      <c r="A49" t="s">
        <v>130</v>
      </c>
      <c r="B49" t="s">
        <v>131</v>
      </c>
      <c r="C49" t="s">
        <v>14</v>
      </c>
      <c r="D49">
        <v>39</v>
      </c>
      <c r="E49" t="s">
        <v>247</v>
      </c>
      <c r="F49" t="s">
        <v>34</v>
      </c>
      <c r="G49" t="s">
        <v>38</v>
      </c>
      <c r="H49" t="s">
        <v>43</v>
      </c>
      <c r="I49" t="s">
        <v>18</v>
      </c>
      <c r="J49">
        <v>3</v>
      </c>
      <c r="K49">
        <v>113169</v>
      </c>
      <c r="L49" s="2">
        <v>46077</v>
      </c>
      <c r="M49">
        <f>YEAR(GFashionHouse[[#This Row],[Last Purchase Date]])</f>
        <v>2026</v>
      </c>
      <c r="N49" t="str">
        <f>TEXT(GFashionHouse[[#This Row],[Last Purchase Date]],"MMMM")</f>
        <v>February</v>
      </c>
      <c r="O49">
        <f>MONTH(GFashionHouse[[#This Row],[Last Purchase Date]])</f>
        <v>2</v>
      </c>
    </row>
    <row r="50" spans="1:15" x14ac:dyDescent="0.3">
      <c r="A50" t="s">
        <v>132</v>
      </c>
      <c r="B50" t="s">
        <v>133</v>
      </c>
      <c r="C50" t="s">
        <v>14</v>
      </c>
      <c r="D50">
        <v>31</v>
      </c>
      <c r="E50" t="s">
        <v>247</v>
      </c>
      <c r="F50" t="s">
        <v>51</v>
      </c>
      <c r="G50" t="s">
        <v>16</v>
      </c>
      <c r="H50" t="s">
        <v>39</v>
      </c>
      <c r="I50" t="s">
        <v>44</v>
      </c>
      <c r="J50">
        <v>6</v>
      </c>
      <c r="K50">
        <v>290838</v>
      </c>
      <c r="L50" s="2">
        <v>46114</v>
      </c>
      <c r="M50">
        <f>YEAR(GFashionHouse[[#This Row],[Last Purchase Date]])</f>
        <v>2026</v>
      </c>
      <c r="N50" t="str">
        <f>TEXT(GFashionHouse[[#This Row],[Last Purchase Date]],"MMMM")</f>
        <v>April</v>
      </c>
      <c r="O50">
        <f>MONTH(GFashionHouse[[#This Row],[Last Purchase Date]])</f>
        <v>4</v>
      </c>
    </row>
    <row r="51" spans="1:15" x14ac:dyDescent="0.3">
      <c r="A51" t="s">
        <v>134</v>
      </c>
      <c r="B51" t="s">
        <v>135</v>
      </c>
      <c r="C51" t="s">
        <v>14</v>
      </c>
      <c r="D51">
        <v>33</v>
      </c>
      <c r="E51" t="s">
        <v>247</v>
      </c>
      <c r="F51" t="s">
        <v>57</v>
      </c>
      <c r="G51" t="s">
        <v>52</v>
      </c>
      <c r="H51" t="s">
        <v>39</v>
      </c>
      <c r="I51" t="s">
        <v>78</v>
      </c>
      <c r="J51">
        <v>3</v>
      </c>
      <c r="K51">
        <v>70671</v>
      </c>
      <c r="L51" s="2">
        <v>45952</v>
      </c>
      <c r="M51">
        <f>YEAR(GFashionHouse[[#This Row],[Last Purchase Date]])</f>
        <v>2025</v>
      </c>
      <c r="N51" t="str">
        <f>TEXT(GFashionHouse[[#This Row],[Last Purchase Date]],"MMMM")</f>
        <v>October</v>
      </c>
      <c r="O51">
        <f>MONTH(GFashionHouse[[#This Row],[Last Purchase Date]])</f>
        <v>10</v>
      </c>
    </row>
    <row r="52" spans="1:15" x14ac:dyDescent="0.3">
      <c r="A52" t="s">
        <v>136</v>
      </c>
      <c r="B52" t="s">
        <v>137</v>
      </c>
      <c r="C52" t="s">
        <v>26</v>
      </c>
      <c r="D52">
        <v>25</v>
      </c>
      <c r="E52" t="s">
        <v>246</v>
      </c>
      <c r="F52" t="s">
        <v>34</v>
      </c>
      <c r="G52" t="s">
        <v>52</v>
      </c>
      <c r="H52" t="s">
        <v>17</v>
      </c>
      <c r="I52" t="s">
        <v>44</v>
      </c>
      <c r="J52">
        <v>4</v>
      </c>
      <c r="K52">
        <v>110624</v>
      </c>
      <c r="L52" s="2">
        <v>45687</v>
      </c>
      <c r="M52">
        <f>YEAR(GFashionHouse[[#This Row],[Last Purchase Date]])</f>
        <v>2025</v>
      </c>
      <c r="N52" t="str">
        <f>TEXT(GFashionHouse[[#This Row],[Last Purchase Date]],"MMMM")</f>
        <v>January</v>
      </c>
      <c r="O52">
        <f>MONTH(GFashionHouse[[#This Row],[Last Purchase Date]])</f>
        <v>1</v>
      </c>
    </row>
    <row r="53" spans="1:15" x14ac:dyDescent="0.3">
      <c r="A53" t="s">
        <v>138</v>
      </c>
      <c r="B53" t="s">
        <v>139</v>
      </c>
      <c r="C53" t="s">
        <v>14</v>
      </c>
      <c r="D53">
        <v>20</v>
      </c>
      <c r="E53" t="s">
        <v>246</v>
      </c>
      <c r="F53" t="s">
        <v>87</v>
      </c>
      <c r="G53" t="s">
        <v>16</v>
      </c>
      <c r="H53" t="s">
        <v>35</v>
      </c>
      <c r="I53" t="s">
        <v>23</v>
      </c>
      <c r="J53">
        <v>8</v>
      </c>
      <c r="K53">
        <v>361280</v>
      </c>
      <c r="L53" s="2">
        <v>46251</v>
      </c>
      <c r="M53">
        <f>YEAR(GFashionHouse[[#This Row],[Last Purchase Date]])</f>
        <v>2026</v>
      </c>
      <c r="N53" t="str">
        <f>TEXT(GFashionHouse[[#This Row],[Last Purchase Date]],"MMMM")</f>
        <v>August</v>
      </c>
      <c r="O53">
        <f>MONTH(GFashionHouse[[#This Row],[Last Purchase Date]])</f>
        <v>8</v>
      </c>
    </row>
    <row r="54" spans="1:15" x14ac:dyDescent="0.3">
      <c r="A54" t="s">
        <v>140</v>
      </c>
      <c r="B54" t="s">
        <v>141</v>
      </c>
      <c r="C54" t="s">
        <v>14</v>
      </c>
      <c r="D54">
        <v>33</v>
      </c>
      <c r="E54" t="s">
        <v>247</v>
      </c>
      <c r="F54" t="s">
        <v>34</v>
      </c>
      <c r="G54" t="s">
        <v>52</v>
      </c>
      <c r="H54" t="s">
        <v>17</v>
      </c>
      <c r="I54" t="s">
        <v>18</v>
      </c>
      <c r="J54">
        <v>7</v>
      </c>
      <c r="K54">
        <v>237923</v>
      </c>
      <c r="L54" s="2">
        <v>45813</v>
      </c>
      <c r="M54">
        <f>YEAR(GFashionHouse[[#This Row],[Last Purchase Date]])</f>
        <v>2025</v>
      </c>
      <c r="N54" t="str">
        <f>TEXT(GFashionHouse[[#This Row],[Last Purchase Date]],"MMMM")</f>
        <v>June</v>
      </c>
      <c r="O54">
        <f>MONTH(GFashionHouse[[#This Row],[Last Purchase Date]])</f>
        <v>6</v>
      </c>
    </row>
    <row r="55" spans="1:15" x14ac:dyDescent="0.3">
      <c r="A55" t="s">
        <v>142</v>
      </c>
      <c r="B55" t="s">
        <v>143</v>
      </c>
      <c r="C55" t="s">
        <v>14</v>
      </c>
      <c r="D55">
        <v>23</v>
      </c>
      <c r="E55" t="s">
        <v>246</v>
      </c>
      <c r="F55" t="s">
        <v>87</v>
      </c>
      <c r="G55" t="s">
        <v>52</v>
      </c>
      <c r="H55" t="s">
        <v>17</v>
      </c>
      <c r="I55" t="s">
        <v>18</v>
      </c>
      <c r="J55">
        <v>8</v>
      </c>
      <c r="K55">
        <v>170328</v>
      </c>
      <c r="L55" s="2">
        <v>46232</v>
      </c>
      <c r="M55">
        <f>YEAR(GFashionHouse[[#This Row],[Last Purchase Date]])</f>
        <v>2026</v>
      </c>
      <c r="N55" t="str">
        <f>TEXT(GFashionHouse[[#This Row],[Last Purchase Date]],"MMMM")</f>
        <v>July</v>
      </c>
      <c r="O55">
        <f>MONTH(GFashionHouse[[#This Row],[Last Purchase Date]])</f>
        <v>7</v>
      </c>
    </row>
    <row r="56" spans="1:15" x14ac:dyDescent="0.3">
      <c r="A56" t="s">
        <v>144</v>
      </c>
      <c r="B56" t="s">
        <v>145</v>
      </c>
      <c r="C56" t="s">
        <v>14</v>
      </c>
      <c r="D56">
        <v>32</v>
      </c>
      <c r="E56" t="s">
        <v>247</v>
      </c>
      <c r="F56" t="s">
        <v>15</v>
      </c>
      <c r="G56" t="s">
        <v>16</v>
      </c>
      <c r="H56" t="s">
        <v>17</v>
      </c>
      <c r="I56" t="s">
        <v>18</v>
      </c>
      <c r="J56">
        <v>6</v>
      </c>
      <c r="K56">
        <v>282024</v>
      </c>
      <c r="L56" s="2">
        <v>46178</v>
      </c>
      <c r="M56">
        <f>YEAR(GFashionHouse[[#This Row],[Last Purchase Date]])</f>
        <v>2026</v>
      </c>
      <c r="N56" t="str">
        <f>TEXT(GFashionHouse[[#This Row],[Last Purchase Date]],"MMMM")</f>
        <v>June</v>
      </c>
      <c r="O56">
        <f>MONTH(GFashionHouse[[#This Row],[Last Purchase Date]])</f>
        <v>6</v>
      </c>
    </row>
    <row r="57" spans="1:15" x14ac:dyDescent="0.3">
      <c r="A57" t="s">
        <v>146</v>
      </c>
      <c r="B57" t="s">
        <v>147</v>
      </c>
      <c r="C57" t="s">
        <v>14</v>
      </c>
      <c r="D57">
        <v>33</v>
      </c>
      <c r="E57" t="s">
        <v>247</v>
      </c>
      <c r="F57" t="s">
        <v>21</v>
      </c>
      <c r="G57" t="s">
        <v>16</v>
      </c>
      <c r="H57" t="s">
        <v>17</v>
      </c>
      <c r="I57" t="s">
        <v>18</v>
      </c>
      <c r="J57">
        <v>8</v>
      </c>
      <c r="K57">
        <v>279888</v>
      </c>
      <c r="L57" s="2">
        <v>45915</v>
      </c>
      <c r="M57">
        <f>YEAR(GFashionHouse[[#This Row],[Last Purchase Date]])</f>
        <v>2025</v>
      </c>
      <c r="N57" t="str">
        <f>TEXT(GFashionHouse[[#This Row],[Last Purchase Date]],"MMMM")</f>
        <v>September</v>
      </c>
      <c r="O57">
        <f>MONTH(GFashionHouse[[#This Row],[Last Purchase Date]])</f>
        <v>9</v>
      </c>
    </row>
    <row r="58" spans="1:15" x14ac:dyDescent="0.3">
      <c r="A58" t="s">
        <v>148</v>
      </c>
      <c r="B58" t="s">
        <v>149</v>
      </c>
      <c r="C58" t="s">
        <v>14</v>
      </c>
      <c r="D58">
        <v>26</v>
      </c>
      <c r="E58" t="s">
        <v>246</v>
      </c>
      <c r="F58" t="s">
        <v>87</v>
      </c>
      <c r="G58" t="s">
        <v>38</v>
      </c>
      <c r="H58" t="s">
        <v>43</v>
      </c>
      <c r="I58" t="s">
        <v>78</v>
      </c>
      <c r="J58">
        <v>8</v>
      </c>
      <c r="K58">
        <v>184616</v>
      </c>
      <c r="L58" s="2">
        <v>45954</v>
      </c>
      <c r="M58">
        <f>YEAR(GFashionHouse[[#This Row],[Last Purchase Date]])</f>
        <v>2025</v>
      </c>
      <c r="N58" t="str">
        <f>TEXT(GFashionHouse[[#This Row],[Last Purchase Date]],"MMMM")</f>
        <v>October</v>
      </c>
      <c r="O58">
        <f>MONTH(GFashionHouse[[#This Row],[Last Purchase Date]])</f>
        <v>10</v>
      </c>
    </row>
    <row r="59" spans="1:15" x14ac:dyDescent="0.3">
      <c r="A59" t="s">
        <v>150</v>
      </c>
      <c r="B59" t="s">
        <v>151</v>
      </c>
      <c r="C59" t="s">
        <v>14</v>
      </c>
      <c r="D59">
        <v>35</v>
      </c>
      <c r="E59" t="s">
        <v>247</v>
      </c>
      <c r="F59" t="s">
        <v>87</v>
      </c>
      <c r="G59" t="s">
        <v>38</v>
      </c>
      <c r="H59" t="s">
        <v>35</v>
      </c>
      <c r="I59" t="s">
        <v>18</v>
      </c>
      <c r="J59">
        <v>2</v>
      </c>
      <c r="K59">
        <v>54136</v>
      </c>
      <c r="L59" s="2">
        <v>45816</v>
      </c>
      <c r="M59">
        <f>YEAR(GFashionHouse[[#This Row],[Last Purchase Date]])</f>
        <v>2025</v>
      </c>
      <c r="N59" t="str">
        <f>TEXT(GFashionHouse[[#This Row],[Last Purchase Date]],"MMMM")</f>
        <v>June</v>
      </c>
      <c r="O59">
        <f>MONTH(GFashionHouse[[#This Row],[Last Purchase Date]])</f>
        <v>6</v>
      </c>
    </row>
    <row r="60" spans="1:15" x14ac:dyDescent="0.3">
      <c r="A60" t="s">
        <v>152</v>
      </c>
      <c r="B60" t="s">
        <v>153</v>
      </c>
      <c r="C60" t="s">
        <v>14</v>
      </c>
      <c r="D60">
        <v>40</v>
      </c>
      <c r="E60" t="s">
        <v>247</v>
      </c>
      <c r="F60" t="s">
        <v>15</v>
      </c>
      <c r="G60" t="s">
        <v>38</v>
      </c>
      <c r="H60" t="s">
        <v>22</v>
      </c>
      <c r="I60" t="s">
        <v>23</v>
      </c>
      <c r="J60">
        <v>4</v>
      </c>
      <c r="K60">
        <v>88836</v>
      </c>
      <c r="L60" s="2">
        <v>46086</v>
      </c>
      <c r="M60">
        <f>YEAR(GFashionHouse[[#This Row],[Last Purchase Date]])</f>
        <v>2026</v>
      </c>
      <c r="N60" t="str">
        <f>TEXT(GFashionHouse[[#This Row],[Last Purchase Date]],"MMMM")</f>
        <v>March</v>
      </c>
      <c r="O60">
        <f>MONTH(GFashionHouse[[#This Row],[Last Purchase Date]])</f>
        <v>3</v>
      </c>
    </row>
    <row r="61" spans="1:15" x14ac:dyDescent="0.3">
      <c r="A61" t="s">
        <v>154</v>
      </c>
      <c r="B61" t="s">
        <v>155</v>
      </c>
      <c r="C61" t="s">
        <v>14</v>
      </c>
      <c r="D61">
        <v>31</v>
      </c>
      <c r="E61" t="s">
        <v>247</v>
      </c>
      <c r="F61" t="s">
        <v>15</v>
      </c>
      <c r="G61" t="s">
        <v>16</v>
      </c>
      <c r="H61" t="s">
        <v>35</v>
      </c>
      <c r="I61" t="s">
        <v>28</v>
      </c>
      <c r="J61">
        <v>1</v>
      </c>
      <c r="K61">
        <v>31555</v>
      </c>
      <c r="L61" s="2">
        <v>46092</v>
      </c>
      <c r="M61">
        <f>YEAR(GFashionHouse[[#This Row],[Last Purchase Date]])</f>
        <v>2026</v>
      </c>
      <c r="N61" t="str">
        <f>TEXT(GFashionHouse[[#This Row],[Last Purchase Date]],"MMMM")</f>
        <v>March</v>
      </c>
      <c r="O61">
        <f>MONTH(GFashionHouse[[#This Row],[Last Purchase Date]])</f>
        <v>3</v>
      </c>
    </row>
    <row r="62" spans="1:15" x14ac:dyDescent="0.3">
      <c r="A62" t="s">
        <v>156</v>
      </c>
      <c r="B62" t="s">
        <v>157</v>
      </c>
      <c r="C62" t="s">
        <v>14</v>
      </c>
      <c r="D62">
        <v>36</v>
      </c>
      <c r="E62" t="s">
        <v>247</v>
      </c>
      <c r="F62" t="s">
        <v>57</v>
      </c>
      <c r="G62" t="s">
        <v>38</v>
      </c>
      <c r="H62" t="s">
        <v>17</v>
      </c>
      <c r="I62" t="s">
        <v>23</v>
      </c>
      <c r="J62">
        <v>7</v>
      </c>
      <c r="K62">
        <v>344813</v>
      </c>
      <c r="L62" s="2">
        <v>45668</v>
      </c>
      <c r="M62">
        <f>YEAR(GFashionHouse[[#This Row],[Last Purchase Date]])</f>
        <v>2025</v>
      </c>
      <c r="N62" t="str">
        <f>TEXT(GFashionHouse[[#This Row],[Last Purchase Date]],"MMMM")</f>
        <v>January</v>
      </c>
      <c r="O62">
        <f>MONTH(GFashionHouse[[#This Row],[Last Purchase Date]])</f>
        <v>1</v>
      </c>
    </row>
    <row r="63" spans="1:15" x14ac:dyDescent="0.3">
      <c r="A63" t="s">
        <v>158</v>
      </c>
      <c r="B63" t="s">
        <v>159</v>
      </c>
      <c r="C63" t="s">
        <v>14</v>
      </c>
      <c r="D63">
        <v>35</v>
      </c>
      <c r="E63" t="s">
        <v>247</v>
      </c>
      <c r="F63" t="s">
        <v>21</v>
      </c>
      <c r="G63" t="s">
        <v>38</v>
      </c>
      <c r="H63" t="s">
        <v>17</v>
      </c>
      <c r="I63" t="s">
        <v>28</v>
      </c>
      <c r="J63">
        <v>4</v>
      </c>
      <c r="K63">
        <v>199984</v>
      </c>
      <c r="L63" s="2">
        <v>45886</v>
      </c>
      <c r="M63">
        <f>YEAR(GFashionHouse[[#This Row],[Last Purchase Date]])</f>
        <v>2025</v>
      </c>
      <c r="N63" t="str">
        <f>TEXT(GFashionHouse[[#This Row],[Last Purchase Date]],"MMMM")</f>
        <v>August</v>
      </c>
      <c r="O63">
        <f>MONTH(GFashionHouse[[#This Row],[Last Purchase Date]])</f>
        <v>8</v>
      </c>
    </row>
    <row r="64" spans="1:15" x14ac:dyDescent="0.3">
      <c r="A64" t="s">
        <v>160</v>
      </c>
      <c r="B64" t="s">
        <v>161</v>
      </c>
      <c r="C64" t="s">
        <v>14</v>
      </c>
      <c r="D64">
        <v>30</v>
      </c>
      <c r="E64" t="s">
        <v>246</v>
      </c>
      <c r="F64" t="s">
        <v>51</v>
      </c>
      <c r="G64" t="s">
        <v>52</v>
      </c>
      <c r="H64" t="s">
        <v>22</v>
      </c>
      <c r="I64" t="s">
        <v>44</v>
      </c>
      <c r="J64">
        <v>6</v>
      </c>
      <c r="K64">
        <v>266982</v>
      </c>
      <c r="L64" s="2">
        <v>45831</v>
      </c>
      <c r="M64">
        <f>YEAR(GFashionHouse[[#This Row],[Last Purchase Date]])</f>
        <v>2025</v>
      </c>
      <c r="N64" t="str">
        <f>TEXT(GFashionHouse[[#This Row],[Last Purchase Date]],"MMMM")</f>
        <v>June</v>
      </c>
      <c r="O64">
        <f>MONTH(GFashionHouse[[#This Row],[Last Purchase Date]])</f>
        <v>6</v>
      </c>
    </row>
    <row r="65" spans="1:15" x14ac:dyDescent="0.3">
      <c r="A65" t="s">
        <v>162</v>
      </c>
      <c r="B65" t="s">
        <v>163</v>
      </c>
      <c r="C65" t="s">
        <v>14</v>
      </c>
      <c r="D65">
        <v>18</v>
      </c>
      <c r="E65" t="s">
        <v>246</v>
      </c>
      <c r="F65" t="s">
        <v>42</v>
      </c>
      <c r="G65" t="s">
        <v>16</v>
      </c>
      <c r="H65" t="s">
        <v>17</v>
      </c>
      <c r="I65" t="s">
        <v>18</v>
      </c>
      <c r="J65">
        <v>7</v>
      </c>
      <c r="K65">
        <v>384909</v>
      </c>
      <c r="L65" s="2">
        <v>45689</v>
      </c>
      <c r="M65">
        <f>YEAR(GFashionHouse[[#This Row],[Last Purchase Date]])</f>
        <v>2025</v>
      </c>
      <c r="N65" t="str">
        <f>TEXT(GFashionHouse[[#This Row],[Last Purchase Date]],"MMMM")</f>
        <v>February</v>
      </c>
      <c r="O65">
        <f>MONTH(GFashionHouse[[#This Row],[Last Purchase Date]])</f>
        <v>2</v>
      </c>
    </row>
    <row r="66" spans="1:15" x14ac:dyDescent="0.3">
      <c r="A66" t="s">
        <v>164</v>
      </c>
      <c r="B66" t="s">
        <v>165</v>
      </c>
      <c r="C66" t="s">
        <v>26</v>
      </c>
      <c r="D66">
        <v>32</v>
      </c>
      <c r="E66" t="s">
        <v>247</v>
      </c>
      <c r="F66" t="s">
        <v>15</v>
      </c>
      <c r="G66" t="s">
        <v>38</v>
      </c>
      <c r="H66" t="s">
        <v>39</v>
      </c>
      <c r="I66" t="s">
        <v>23</v>
      </c>
      <c r="J66">
        <v>3</v>
      </c>
      <c r="K66">
        <v>63885</v>
      </c>
      <c r="L66" s="2">
        <v>45928</v>
      </c>
      <c r="M66">
        <f>YEAR(GFashionHouse[[#This Row],[Last Purchase Date]])</f>
        <v>2025</v>
      </c>
      <c r="N66" t="str">
        <f>TEXT(GFashionHouse[[#This Row],[Last Purchase Date]],"MMMM")</f>
        <v>September</v>
      </c>
      <c r="O66">
        <f>MONTH(GFashionHouse[[#This Row],[Last Purchase Date]])</f>
        <v>9</v>
      </c>
    </row>
    <row r="67" spans="1:15" x14ac:dyDescent="0.3">
      <c r="A67" t="s">
        <v>166</v>
      </c>
      <c r="B67" t="s">
        <v>167</v>
      </c>
      <c r="C67" t="s">
        <v>14</v>
      </c>
      <c r="D67">
        <v>28</v>
      </c>
      <c r="E67" t="s">
        <v>246</v>
      </c>
      <c r="F67" t="s">
        <v>15</v>
      </c>
      <c r="G67" t="s">
        <v>38</v>
      </c>
      <c r="H67" t="s">
        <v>31</v>
      </c>
      <c r="I67" t="s">
        <v>23</v>
      </c>
      <c r="J67">
        <v>6</v>
      </c>
      <c r="K67">
        <v>257076</v>
      </c>
      <c r="L67" s="2">
        <v>45946</v>
      </c>
      <c r="M67">
        <f>YEAR(GFashionHouse[[#This Row],[Last Purchase Date]])</f>
        <v>2025</v>
      </c>
      <c r="N67" t="str">
        <f>TEXT(GFashionHouse[[#This Row],[Last Purchase Date]],"MMMM")</f>
        <v>October</v>
      </c>
      <c r="O67">
        <f>MONTH(GFashionHouse[[#This Row],[Last Purchase Date]])</f>
        <v>10</v>
      </c>
    </row>
    <row r="68" spans="1:15" x14ac:dyDescent="0.3">
      <c r="A68" t="s">
        <v>168</v>
      </c>
      <c r="B68" t="s">
        <v>169</v>
      </c>
      <c r="C68" t="s">
        <v>14</v>
      </c>
      <c r="D68">
        <v>18</v>
      </c>
      <c r="E68" t="s">
        <v>246</v>
      </c>
      <c r="F68" t="s">
        <v>42</v>
      </c>
      <c r="G68" t="s">
        <v>16</v>
      </c>
      <c r="H68" t="s">
        <v>31</v>
      </c>
      <c r="I68" t="s">
        <v>28</v>
      </c>
      <c r="J68">
        <v>1</v>
      </c>
      <c r="K68">
        <v>40935</v>
      </c>
      <c r="L68" s="2">
        <v>45891</v>
      </c>
      <c r="M68">
        <f>YEAR(GFashionHouse[[#This Row],[Last Purchase Date]])</f>
        <v>2025</v>
      </c>
      <c r="N68" t="str">
        <f>TEXT(GFashionHouse[[#This Row],[Last Purchase Date]],"MMMM")</f>
        <v>August</v>
      </c>
      <c r="O68">
        <f>MONTH(GFashionHouse[[#This Row],[Last Purchase Date]])</f>
        <v>8</v>
      </c>
    </row>
    <row r="69" spans="1:15" x14ac:dyDescent="0.3">
      <c r="A69" t="s">
        <v>170</v>
      </c>
      <c r="B69" t="s">
        <v>171</v>
      </c>
      <c r="C69" t="s">
        <v>14</v>
      </c>
      <c r="D69">
        <v>25</v>
      </c>
      <c r="E69" t="s">
        <v>246</v>
      </c>
      <c r="F69" t="s">
        <v>87</v>
      </c>
      <c r="G69" t="s">
        <v>52</v>
      </c>
      <c r="H69" t="s">
        <v>17</v>
      </c>
      <c r="I69" t="s">
        <v>28</v>
      </c>
      <c r="J69">
        <v>4</v>
      </c>
      <c r="K69">
        <v>77340</v>
      </c>
      <c r="L69" s="2">
        <v>45818</v>
      </c>
      <c r="M69">
        <f>YEAR(GFashionHouse[[#This Row],[Last Purchase Date]])</f>
        <v>2025</v>
      </c>
      <c r="N69" t="str">
        <f>TEXT(GFashionHouse[[#This Row],[Last Purchase Date]],"MMMM")</f>
        <v>June</v>
      </c>
      <c r="O69">
        <f>MONTH(GFashionHouse[[#This Row],[Last Purchase Date]])</f>
        <v>6</v>
      </c>
    </row>
    <row r="70" spans="1:15" x14ac:dyDescent="0.3">
      <c r="A70" t="s">
        <v>172</v>
      </c>
      <c r="B70" t="s">
        <v>173</v>
      </c>
      <c r="C70" t="s">
        <v>26</v>
      </c>
      <c r="D70">
        <v>36</v>
      </c>
      <c r="E70" t="s">
        <v>247</v>
      </c>
      <c r="F70" t="s">
        <v>57</v>
      </c>
      <c r="G70" t="s">
        <v>52</v>
      </c>
      <c r="H70" t="s">
        <v>22</v>
      </c>
      <c r="I70" t="s">
        <v>44</v>
      </c>
      <c r="J70">
        <v>4</v>
      </c>
      <c r="K70">
        <v>193904</v>
      </c>
      <c r="L70" s="2">
        <v>45924</v>
      </c>
      <c r="M70">
        <f>YEAR(GFashionHouse[[#This Row],[Last Purchase Date]])</f>
        <v>2025</v>
      </c>
      <c r="N70" t="str">
        <f>TEXT(GFashionHouse[[#This Row],[Last Purchase Date]],"MMMM")</f>
        <v>September</v>
      </c>
      <c r="O70">
        <f>MONTH(GFashionHouse[[#This Row],[Last Purchase Date]])</f>
        <v>9</v>
      </c>
    </row>
    <row r="71" spans="1:15" x14ac:dyDescent="0.3">
      <c r="A71" t="s">
        <v>174</v>
      </c>
      <c r="B71" t="s">
        <v>175</v>
      </c>
      <c r="C71" t="s">
        <v>14</v>
      </c>
      <c r="D71">
        <v>40</v>
      </c>
      <c r="E71" t="s">
        <v>247</v>
      </c>
      <c r="F71" t="s">
        <v>42</v>
      </c>
      <c r="G71" t="s">
        <v>16</v>
      </c>
      <c r="H71" t="s">
        <v>31</v>
      </c>
      <c r="I71" t="s">
        <v>78</v>
      </c>
      <c r="J71">
        <v>2</v>
      </c>
      <c r="K71">
        <v>57464</v>
      </c>
      <c r="L71" s="2">
        <v>45980</v>
      </c>
      <c r="M71">
        <f>YEAR(GFashionHouse[[#This Row],[Last Purchase Date]])</f>
        <v>2025</v>
      </c>
      <c r="N71" t="str">
        <f>TEXT(GFashionHouse[[#This Row],[Last Purchase Date]],"MMMM")</f>
        <v>November</v>
      </c>
      <c r="O71">
        <f>MONTH(GFashionHouse[[#This Row],[Last Purchase Date]])</f>
        <v>11</v>
      </c>
    </row>
    <row r="72" spans="1:15" x14ac:dyDescent="0.3">
      <c r="A72" t="s">
        <v>176</v>
      </c>
      <c r="B72" t="s">
        <v>177</v>
      </c>
      <c r="C72" t="s">
        <v>14</v>
      </c>
      <c r="D72">
        <v>36</v>
      </c>
      <c r="E72" t="s">
        <v>247</v>
      </c>
      <c r="F72" t="s">
        <v>42</v>
      </c>
      <c r="G72" t="s">
        <v>16</v>
      </c>
      <c r="H72" t="s">
        <v>35</v>
      </c>
      <c r="I72" t="s">
        <v>18</v>
      </c>
      <c r="J72">
        <v>7</v>
      </c>
      <c r="K72">
        <v>307965</v>
      </c>
      <c r="L72" s="2">
        <v>45865</v>
      </c>
      <c r="M72">
        <f>YEAR(GFashionHouse[[#This Row],[Last Purchase Date]])</f>
        <v>2025</v>
      </c>
      <c r="N72" t="str">
        <f>TEXT(GFashionHouse[[#This Row],[Last Purchase Date]],"MMMM")</f>
        <v>July</v>
      </c>
      <c r="O72">
        <f>MONTH(GFashionHouse[[#This Row],[Last Purchase Date]])</f>
        <v>7</v>
      </c>
    </row>
    <row r="73" spans="1:15" x14ac:dyDescent="0.3">
      <c r="A73" t="s">
        <v>178</v>
      </c>
      <c r="B73" t="s">
        <v>179</v>
      </c>
      <c r="C73" t="s">
        <v>26</v>
      </c>
      <c r="D73">
        <v>21</v>
      </c>
      <c r="E73" t="s">
        <v>246</v>
      </c>
      <c r="F73" t="s">
        <v>34</v>
      </c>
      <c r="G73" t="s">
        <v>38</v>
      </c>
      <c r="H73" t="s">
        <v>22</v>
      </c>
      <c r="I73" t="s">
        <v>23</v>
      </c>
      <c r="J73">
        <v>5</v>
      </c>
      <c r="K73">
        <v>129665</v>
      </c>
      <c r="L73" s="2">
        <v>46241</v>
      </c>
      <c r="M73">
        <f>YEAR(GFashionHouse[[#This Row],[Last Purchase Date]])</f>
        <v>2026</v>
      </c>
      <c r="N73" t="str">
        <f>TEXT(GFashionHouse[[#This Row],[Last Purchase Date]],"MMMM")</f>
        <v>August</v>
      </c>
      <c r="O73">
        <f>MONTH(GFashionHouse[[#This Row],[Last Purchase Date]])</f>
        <v>8</v>
      </c>
    </row>
    <row r="74" spans="1:15" x14ac:dyDescent="0.3">
      <c r="A74" t="s">
        <v>180</v>
      </c>
      <c r="B74" t="s">
        <v>181</v>
      </c>
      <c r="C74" t="s">
        <v>14</v>
      </c>
      <c r="D74">
        <v>39</v>
      </c>
      <c r="E74" t="s">
        <v>247</v>
      </c>
      <c r="F74" t="s">
        <v>57</v>
      </c>
      <c r="G74" t="s">
        <v>52</v>
      </c>
      <c r="H74" t="s">
        <v>17</v>
      </c>
      <c r="I74" t="s">
        <v>23</v>
      </c>
      <c r="J74">
        <v>6</v>
      </c>
      <c r="K74">
        <v>135114</v>
      </c>
      <c r="L74" s="2">
        <v>46180</v>
      </c>
      <c r="M74">
        <f>YEAR(GFashionHouse[[#This Row],[Last Purchase Date]])</f>
        <v>2026</v>
      </c>
      <c r="N74" t="str">
        <f>TEXT(GFashionHouse[[#This Row],[Last Purchase Date]],"MMMM")</f>
        <v>June</v>
      </c>
      <c r="O74">
        <f>MONTH(GFashionHouse[[#This Row],[Last Purchase Date]])</f>
        <v>6</v>
      </c>
    </row>
    <row r="75" spans="1:15" x14ac:dyDescent="0.3">
      <c r="A75" t="s">
        <v>182</v>
      </c>
      <c r="B75" t="s">
        <v>183</v>
      </c>
      <c r="C75" t="s">
        <v>26</v>
      </c>
      <c r="D75">
        <v>21</v>
      </c>
      <c r="E75" t="s">
        <v>246</v>
      </c>
      <c r="F75" t="s">
        <v>27</v>
      </c>
      <c r="G75" t="s">
        <v>38</v>
      </c>
      <c r="H75" t="s">
        <v>39</v>
      </c>
      <c r="I75" t="s">
        <v>44</v>
      </c>
      <c r="J75">
        <v>7</v>
      </c>
      <c r="K75">
        <v>292152</v>
      </c>
      <c r="L75" s="2">
        <v>46132</v>
      </c>
      <c r="M75">
        <f>YEAR(GFashionHouse[[#This Row],[Last Purchase Date]])</f>
        <v>2026</v>
      </c>
      <c r="N75" t="str">
        <f>TEXT(GFashionHouse[[#This Row],[Last Purchase Date]],"MMMM")</f>
        <v>April</v>
      </c>
      <c r="O75">
        <f>MONTH(GFashionHouse[[#This Row],[Last Purchase Date]])</f>
        <v>4</v>
      </c>
    </row>
    <row r="76" spans="1:15" x14ac:dyDescent="0.3">
      <c r="A76" t="s">
        <v>184</v>
      </c>
      <c r="B76" t="s">
        <v>185</v>
      </c>
      <c r="C76" t="s">
        <v>14</v>
      </c>
      <c r="D76">
        <v>38</v>
      </c>
      <c r="E76" t="s">
        <v>247</v>
      </c>
      <c r="F76" t="s">
        <v>51</v>
      </c>
      <c r="G76" t="s">
        <v>38</v>
      </c>
      <c r="H76" t="s">
        <v>35</v>
      </c>
      <c r="I76" t="s">
        <v>44</v>
      </c>
      <c r="J76">
        <v>5</v>
      </c>
      <c r="K76">
        <v>266345</v>
      </c>
      <c r="L76" s="2">
        <v>46157</v>
      </c>
      <c r="M76">
        <f>YEAR(GFashionHouse[[#This Row],[Last Purchase Date]])</f>
        <v>2026</v>
      </c>
      <c r="N76" t="str">
        <f>TEXT(GFashionHouse[[#This Row],[Last Purchase Date]],"MMMM")</f>
        <v>May</v>
      </c>
      <c r="O76">
        <f>MONTH(GFashionHouse[[#This Row],[Last Purchase Date]])</f>
        <v>5</v>
      </c>
    </row>
    <row r="77" spans="1:15" x14ac:dyDescent="0.3">
      <c r="A77" t="s">
        <v>186</v>
      </c>
      <c r="B77" t="s">
        <v>187</v>
      </c>
      <c r="C77" t="s">
        <v>26</v>
      </c>
      <c r="D77">
        <v>26</v>
      </c>
      <c r="E77" t="s">
        <v>246</v>
      </c>
      <c r="F77" t="s">
        <v>21</v>
      </c>
      <c r="G77" t="s">
        <v>38</v>
      </c>
      <c r="H77" t="s">
        <v>39</v>
      </c>
      <c r="I77" t="s">
        <v>23</v>
      </c>
      <c r="J77">
        <v>6</v>
      </c>
      <c r="K77">
        <v>204528</v>
      </c>
      <c r="L77" s="2">
        <v>45750</v>
      </c>
      <c r="M77">
        <f>YEAR(GFashionHouse[[#This Row],[Last Purchase Date]])</f>
        <v>2025</v>
      </c>
      <c r="N77" t="str">
        <f>TEXT(GFashionHouse[[#This Row],[Last Purchase Date]],"MMMM")</f>
        <v>April</v>
      </c>
      <c r="O77">
        <f>MONTH(GFashionHouse[[#This Row],[Last Purchase Date]])</f>
        <v>4</v>
      </c>
    </row>
    <row r="78" spans="1:15" x14ac:dyDescent="0.3">
      <c r="A78" t="s">
        <v>188</v>
      </c>
      <c r="B78" t="s">
        <v>189</v>
      </c>
      <c r="C78" t="s">
        <v>14</v>
      </c>
      <c r="D78">
        <v>36</v>
      </c>
      <c r="E78" t="s">
        <v>247</v>
      </c>
      <c r="F78" t="s">
        <v>51</v>
      </c>
      <c r="G78" t="s">
        <v>38</v>
      </c>
      <c r="H78" t="s">
        <v>39</v>
      </c>
      <c r="I78" t="s">
        <v>23</v>
      </c>
      <c r="J78">
        <v>7</v>
      </c>
      <c r="K78">
        <v>280322</v>
      </c>
      <c r="L78" s="2">
        <v>45691</v>
      </c>
      <c r="M78">
        <f>YEAR(GFashionHouse[[#This Row],[Last Purchase Date]])</f>
        <v>2025</v>
      </c>
      <c r="N78" t="str">
        <f>TEXT(GFashionHouse[[#This Row],[Last Purchase Date]],"MMMM")</f>
        <v>February</v>
      </c>
      <c r="O78">
        <f>MONTH(GFashionHouse[[#This Row],[Last Purchase Date]])</f>
        <v>2</v>
      </c>
    </row>
    <row r="79" spans="1:15" x14ac:dyDescent="0.3">
      <c r="A79" t="s">
        <v>190</v>
      </c>
      <c r="B79" t="s">
        <v>191</v>
      </c>
      <c r="C79" t="s">
        <v>14</v>
      </c>
      <c r="D79">
        <v>24</v>
      </c>
      <c r="E79" t="s">
        <v>246</v>
      </c>
      <c r="F79" t="s">
        <v>21</v>
      </c>
      <c r="G79" t="s">
        <v>16</v>
      </c>
      <c r="H79" t="s">
        <v>35</v>
      </c>
      <c r="I79" t="s">
        <v>78</v>
      </c>
      <c r="J79">
        <v>6</v>
      </c>
      <c r="K79">
        <v>209586</v>
      </c>
      <c r="L79" s="2">
        <v>46010</v>
      </c>
      <c r="M79">
        <f>YEAR(GFashionHouse[[#This Row],[Last Purchase Date]])</f>
        <v>2025</v>
      </c>
      <c r="N79" t="str">
        <f>TEXT(GFashionHouse[[#This Row],[Last Purchase Date]],"MMMM")</f>
        <v>December</v>
      </c>
      <c r="O79">
        <f>MONTH(GFashionHouse[[#This Row],[Last Purchase Date]])</f>
        <v>12</v>
      </c>
    </row>
    <row r="80" spans="1:15" x14ac:dyDescent="0.3">
      <c r="A80" t="s">
        <v>192</v>
      </c>
      <c r="B80" t="s">
        <v>193</v>
      </c>
      <c r="C80" t="s">
        <v>26</v>
      </c>
      <c r="D80">
        <v>35</v>
      </c>
      <c r="E80" t="s">
        <v>247</v>
      </c>
      <c r="F80" t="s">
        <v>42</v>
      </c>
      <c r="G80" t="s">
        <v>52</v>
      </c>
      <c r="H80" t="s">
        <v>35</v>
      </c>
      <c r="I80" t="s">
        <v>23</v>
      </c>
      <c r="J80">
        <v>1</v>
      </c>
      <c r="K80">
        <v>51857</v>
      </c>
      <c r="L80" s="2">
        <v>45857</v>
      </c>
      <c r="M80">
        <f>YEAR(GFashionHouse[[#This Row],[Last Purchase Date]])</f>
        <v>2025</v>
      </c>
      <c r="N80" t="str">
        <f>TEXT(GFashionHouse[[#This Row],[Last Purchase Date]],"MMMM")</f>
        <v>July</v>
      </c>
      <c r="O80">
        <f>MONTH(GFashionHouse[[#This Row],[Last Purchase Date]])</f>
        <v>7</v>
      </c>
    </row>
    <row r="81" spans="1:15" x14ac:dyDescent="0.3">
      <c r="A81" t="s">
        <v>194</v>
      </c>
      <c r="B81" t="s">
        <v>195</v>
      </c>
      <c r="C81" t="s">
        <v>14</v>
      </c>
      <c r="D81">
        <v>33</v>
      </c>
      <c r="E81" t="s">
        <v>247</v>
      </c>
      <c r="F81" t="s">
        <v>51</v>
      </c>
      <c r="G81" t="s">
        <v>52</v>
      </c>
      <c r="H81" t="s">
        <v>31</v>
      </c>
      <c r="I81" t="s">
        <v>78</v>
      </c>
      <c r="J81">
        <v>4</v>
      </c>
      <c r="K81">
        <v>196804</v>
      </c>
      <c r="L81" s="2">
        <v>46164</v>
      </c>
      <c r="M81">
        <f>YEAR(GFashionHouse[[#This Row],[Last Purchase Date]])</f>
        <v>2026</v>
      </c>
      <c r="N81" t="str">
        <f>TEXT(GFashionHouse[[#This Row],[Last Purchase Date]],"MMMM")</f>
        <v>May</v>
      </c>
      <c r="O81">
        <f>MONTH(GFashionHouse[[#This Row],[Last Purchase Date]])</f>
        <v>5</v>
      </c>
    </row>
    <row r="82" spans="1:15" x14ac:dyDescent="0.3">
      <c r="A82" t="s">
        <v>196</v>
      </c>
      <c r="B82" t="s">
        <v>197</v>
      </c>
      <c r="C82" t="s">
        <v>14</v>
      </c>
      <c r="D82">
        <v>25</v>
      </c>
      <c r="E82" t="s">
        <v>246</v>
      </c>
      <c r="F82" t="s">
        <v>57</v>
      </c>
      <c r="G82" t="s">
        <v>38</v>
      </c>
      <c r="H82" t="s">
        <v>22</v>
      </c>
      <c r="I82" t="s">
        <v>44</v>
      </c>
      <c r="J82">
        <v>7</v>
      </c>
      <c r="K82">
        <v>237615</v>
      </c>
      <c r="L82" s="2">
        <v>45975</v>
      </c>
      <c r="M82">
        <f>YEAR(GFashionHouse[[#This Row],[Last Purchase Date]])</f>
        <v>2025</v>
      </c>
      <c r="N82" t="str">
        <f>TEXT(GFashionHouse[[#This Row],[Last Purchase Date]],"MMMM")</f>
        <v>November</v>
      </c>
      <c r="O82">
        <f>MONTH(GFashionHouse[[#This Row],[Last Purchase Date]])</f>
        <v>11</v>
      </c>
    </row>
    <row r="83" spans="1:15" x14ac:dyDescent="0.3">
      <c r="A83" t="s">
        <v>198</v>
      </c>
      <c r="B83" t="s">
        <v>199</v>
      </c>
      <c r="C83" t="s">
        <v>14</v>
      </c>
      <c r="D83">
        <v>29</v>
      </c>
      <c r="E83" t="s">
        <v>246</v>
      </c>
      <c r="F83" t="s">
        <v>57</v>
      </c>
      <c r="G83" t="s">
        <v>16</v>
      </c>
      <c r="H83" t="s">
        <v>17</v>
      </c>
      <c r="I83" t="s">
        <v>78</v>
      </c>
      <c r="J83">
        <v>7</v>
      </c>
      <c r="K83">
        <v>378490</v>
      </c>
      <c r="L83" s="2">
        <v>46000</v>
      </c>
      <c r="M83">
        <f>YEAR(GFashionHouse[[#This Row],[Last Purchase Date]])</f>
        <v>2025</v>
      </c>
      <c r="N83" t="str">
        <f>TEXT(GFashionHouse[[#This Row],[Last Purchase Date]],"MMMM")</f>
        <v>December</v>
      </c>
      <c r="O83">
        <f>MONTH(GFashionHouse[[#This Row],[Last Purchase Date]])</f>
        <v>12</v>
      </c>
    </row>
    <row r="84" spans="1:15" x14ac:dyDescent="0.3">
      <c r="A84" t="s">
        <v>200</v>
      </c>
      <c r="B84" t="s">
        <v>201</v>
      </c>
      <c r="C84" t="s">
        <v>14</v>
      </c>
      <c r="D84">
        <v>27</v>
      </c>
      <c r="E84" t="s">
        <v>246</v>
      </c>
      <c r="F84" t="s">
        <v>87</v>
      </c>
      <c r="G84" t="s">
        <v>38</v>
      </c>
      <c r="H84" t="s">
        <v>31</v>
      </c>
      <c r="I84" t="s">
        <v>44</v>
      </c>
      <c r="J84">
        <v>5</v>
      </c>
      <c r="K84">
        <v>165540</v>
      </c>
      <c r="L84" s="2">
        <v>45785</v>
      </c>
      <c r="M84">
        <f>YEAR(GFashionHouse[[#This Row],[Last Purchase Date]])</f>
        <v>2025</v>
      </c>
      <c r="N84" t="str">
        <f>TEXT(GFashionHouse[[#This Row],[Last Purchase Date]],"MMMM")</f>
        <v>May</v>
      </c>
      <c r="O84">
        <f>MONTH(GFashionHouse[[#This Row],[Last Purchase Date]])</f>
        <v>5</v>
      </c>
    </row>
    <row r="85" spans="1:15" x14ac:dyDescent="0.3">
      <c r="A85" t="s">
        <v>202</v>
      </c>
      <c r="B85" t="s">
        <v>203</v>
      </c>
      <c r="C85" t="s">
        <v>26</v>
      </c>
      <c r="D85">
        <v>40</v>
      </c>
      <c r="E85" t="s">
        <v>247</v>
      </c>
      <c r="F85" t="s">
        <v>51</v>
      </c>
      <c r="G85" t="s">
        <v>38</v>
      </c>
      <c r="H85" t="s">
        <v>35</v>
      </c>
      <c r="I85" t="s">
        <v>44</v>
      </c>
      <c r="J85">
        <v>3</v>
      </c>
      <c r="K85">
        <v>91656</v>
      </c>
      <c r="L85" s="2">
        <v>45883</v>
      </c>
      <c r="M85">
        <f>YEAR(GFashionHouse[[#This Row],[Last Purchase Date]])</f>
        <v>2025</v>
      </c>
      <c r="N85" t="str">
        <f>TEXT(GFashionHouse[[#This Row],[Last Purchase Date]],"MMMM")</f>
        <v>August</v>
      </c>
      <c r="O85">
        <f>MONTH(GFashionHouse[[#This Row],[Last Purchase Date]])</f>
        <v>8</v>
      </c>
    </row>
    <row r="86" spans="1:15" x14ac:dyDescent="0.3">
      <c r="A86" t="s">
        <v>204</v>
      </c>
      <c r="B86" t="s">
        <v>205</v>
      </c>
      <c r="C86" t="s">
        <v>26</v>
      </c>
      <c r="D86">
        <v>34</v>
      </c>
      <c r="E86" t="s">
        <v>247</v>
      </c>
      <c r="F86" t="s">
        <v>21</v>
      </c>
      <c r="G86" t="s">
        <v>52</v>
      </c>
      <c r="H86" t="s">
        <v>43</v>
      </c>
      <c r="I86" t="s">
        <v>18</v>
      </c>
      <c r="J86">
        <v>5</v>
      </c>
      <c r="K86">
        <v>122940</v>
      </c>
      <c r="L86" s="2">
        <v>45860</v>
      </c>
      <c r="M86">
        <f>YEAR(GFashionHouse[[#This Row],[Last Purchase Date]])</f>
        <v>2025</v>
      </c>
      <c r="N86" t="str">
        <f>TEXT(GFashionHouse[[#This Row],[Last Purchase Date]],"MMMM")</f>
        <v>July</v>
      </c>
      <c r="O86">
        <f>MONTH(GFashionHouse[[#This Row],[Last Purchase Date]])</f>
        <v>7</v>
      </c>
    </row>
    <row r="87" spans="1:15" x14ac:dyDescent="0.3">
      <c r="A87" t="s">
        <v>206</v>
      </c>
      <c r="B87" t="s">
        <v>207</v>
      </c>
      <c r="C87" t="s">
        <v>14</v>
      </c>
      <c r="D87">
        <v>27</v>
      </c>
      <c r="E87" t="s">
        <v>246</v>
      </c>
      <c r="F87" t="s">
        <v>21</v>
      </c>
      <c r="G87" t="s">
        <v>52</v>
      </c>
      <c r="H87" t="s">
        <v>31</v>
      </c>
      <c r="I87" t="s">
        <v>44</v>
      </c>
      <c r="J87">
        <v>1</v>
      </c>
      <c r="K87">
        <v>53005</v>
      </c>
      <c r="L87" s="2">
        <v>45791</v>
      </c>
      <c r="M87">
        <f>YEAR(GFashionHouse[[#This Row],[Last Purchase Date]])</f>
        <v>2025</v>
      </c>
      <c r="N87" t="str">
        <f>TEXT(GFashionHouse[[#This Row],[Last Purchase Date]],"MMMM")</f>
        <v>May</v>
      </c>
      <c r="O87">
        <f>MONTH(GFashionHouse[[#This Row],[Last Purchase Date]])</f>
        <v>5</v>
      </c>
    </row>
    <row r="88" spans="1:15" x14ac:dyDescent="0.3">
      <c r="A88" t="s">
        <v>208</v>
      </c>
      <c r="B88" t="s">
        <v>209</v>
      </c>
      <c r="C88" t="s">
        <v>14</v>
      </c>
      <c r="D88">
        <v>27</v>
      </c>
      <c r="E88" t="s">
        <v>246</v>
      </c>
      <c r="F88" t="s">
        <v>34</v>
      </c>
      <c r="G88" t="s">
        <v>16</v>
      </c>
      <c r="H88" t="s">
        <v>43</v>
      </c>
      <c r="I88" t="s">
        <v>23</v>
      </c>
      <c r="J88">
        <v>3</v>
      </c>
      <c r="K88">
        <v>150510</v>
      </c>
      <c r="L88" s="2">
        <v>45767</v>
      </c>
      <c r="M88">
        <f>YEAR(GFashionHouse[[#This Row],[Last Purchase Date]])</f>
        <v>2025</v>
      </c>
      <c r="N88" t="str">
        <f>TEXT(GFashionHouse[[#This Row],[Last Purchase Date]],"MMMM")</f>
        <v>April</v>
      </c>
      <c r="O88">
        <f>MONTH(GFashionHouse[[#This Row],[Last Purchase Date]])</f>
        <v>4</v>
      </c>
    </row>
    <row r="89" spans="1:15" x14ac:dyDescent="0.3">
      <c r="A89" t="s">
        <v>210</v>
      </c>
      <c r="B89" t="s">
        <v>211</v>
      </c>
      <c r="C89" t="s">
        <v>14</v>
      </c>
      <c r="D89">
        <v>33</v>
      </c>
      <c r="E89" t="s">
        <v>247</v>
      </c>
      <c r="F89" t="s">
        <v>34</v>
      </c>
      <c r="G89" t="s">
        <v>38</v>
      </c>
      <c r="H89" t="s">
        <v>17</v>
      </c>
      <c r="I89" t="s">
        <v>28</v>
      </c>
      <c r="J89">
        <v>8</v>
      </c>
      <c r="K89">
        <v>322624</v>
      </c>
      <c r="L89" s="2">
        <v>45850</v>
      </c>
      <c r="M89">
        <f>YEAR(GFashionHouse[[#This Row],[Last Purchase Date]])</f>
        <v>2025</v>
      </c>
      <c r="N89" t="str">
        <f>TEXT(GFashionHouse[[#This Row],[Last Purchase Date]],"MMMM")</f>
        <v>July</v>
      </c>
      <c r="O89">
        <f>MONTH(GFashionHouse[[#This Row],[Last Purchase Date]])</f>
        <v>7</v>
      </c>
    </row>
    <row r="90" spans="1:15" x14ac:dyDescent="0.3">
      <c r="A90" t="s">
        <v>212</v>
      </c>
      <c r="B90" t="s">
        <v>213</v>
      </c>
      <c r="C90" t="s">
        <v>14</v>
      </c>
      <c r="D90">
        <v>20</v>
      </c>
      <c r="E90" t="s">
        <v>246</v>
      </c>
      <c r="F90" t="s">
        <v>34</v>
      </c>
      <c r="G90" t="s">
        <v>52</v>
      </c>
      <c r="H90" t="s">
        <v>39</v>
      </c>
      <c r="I90" t="s">
        <v>44</v>
      </c>
      <c r="J90">
        <v>7</v>
      </c>
      <c r="K90">
        <v>351589</v>
      </c>
      <c r="L90" s="2">
        <v>45737</v>
      </c>
      <c r="M90">
        <f>YEAR(GFashionHouse[[#This Row],[Last Purchase Date]])</f>
        <v>2025</v>
      </c>
      <c r="N90" t="str">
        <f>TEXT(GFashionHouse[[#This Row],[Last Purchase Date]],"MMMM")</f>
        <v>March</v>
      </c>
      <c r="O90">
        <f>MONTH(GFashionHouse[[#This Row],[Last Purchase Date]])</f>
        <v>3</v>
      </c>
    </row>
    <row r="91" spans="1:15" x14ac:dyDescent="0.3">
      <c r="A91" t="s">
        <v>214</v>
      </c>
      <c r="B91" t="s">
        <v>215</v>
      </c>
      <c r="C91" t="s">
        <v>14</v>
      </c>
      <c r="D91">
        <v>27</v>
      </c>
      <c r="E91" t="s">
        <v>246</v>
      </c>
      <c r="F91" t="s">
        <v>15</v>
      </c>
      <c r="G91" t="s">
        <v>16</v>
      </c>
      <c r="H91" t="s">
        <v>22</v>
      </c>
      <c r="I91" t="s">
        <v>44</v>
      </c>
      <c r="J91">
        <v>2</v>
      </c>
      <c r="K91">
        <v>68530</v>
      </c>
      <c r="L91" s="2">
        <v>45783</v>
      </c>
      <c r="M91">
        <f>YEAR(GFashionHouse[[#This Row],[Last Purchase Date]])</f>
        <v>2025</v>
      </c>
      <c r="N91" t="str">
        <f>TEXT(GFashionHouse[[#This Row],[Last Purchase Date]],"MMMM")</f>
        <v>May</v>
      </c>
      <c r="O91">
        <f>MONTH(GFashionHouse[[#This Row],[Last Purchase Date]])</f>
        <v>5</v>
      </c>
    </row>
    <row r="92" spans="1:15" x14ac:dyDescent="0.3">
      <c r="A92" t="s">
        <v>216</v>
      </c>
      <c r="B92" t="s">
        <v>217</v>
      </c>
      <c r="C92" t="s">
        <v>26</v>
      </c>
      <c r="D92">
        <v>25</v>
      </c>
      <c r="E92" t="s">
        <v>246</v>
      </c>
      <c r="F92" t="s">
        <v>21</v>
      </c>
      <c r="G92" t="s">
        <v>16</v>
      </c>
      <c r="H92" t="s">
        <v>17</v>
      </c>
      <c r="I92" t="s">
        <v>78</v>
      </c>
      <c r="J92">
        <v>7</v>
      </c>
      <c r="K92">
        <v>332668</v>
      </c>
      <c r="L92" s="2">
        <v>46115</v>
      </c>
      <c r="M92">
        <f>YEAR(GFashionHouse[[#This Row],[Last Purchase Date]])</f>
        <v>2026</v>
      </c>
      <c r="N92" t="str">
        <f>TEXT(GFashionHouse[[#This Row],[Last Purchase Date]],"MMMM")</f>
        <v>April</v>
      </c>
      <c r="O92">
        <f>MONTH(GFashionHouse[[#This Row],[Last Purchase Date]])</f>
        <v>4</v>
      </c>
    </row>
    <row r="93" spans="1:15" x14ac:dyDescent="0.3">
      <c r="A93" t="s">
        <v>218</v>
      </c>
      <c r="B93" t="s">
        <v>219</v>
      </c>
      <c r="C93" t="s">
        <v>14</v>
      </c>
      <c r="D93">
        <v>36</v>
      </c>
      <c r="E93" t="s">
        <v>247</v>
      </c>
      <c r="F93" t="s">
        <v>87</v>
      </c>
      <c r="G93" t="s">
        <v>38</v>
      </c>
      <c r="H93" t="s">
        <v>35</v>
      </c>
      <c r="I93" t="s">
        <v>28</v>
      </c>
      <c r="J93">
        <v>1</v>
      </c>
      <c r="K93">
        <v>24503</v>
      </c>
      <c r="L93" s="2">
        <v>45874</v>
      </c>
      <c r="M93">
        <f>YEAR(GFashionHouse[[#This Row],[Last Purchase Date]])</f>
        <v>2025</v>
      </c>
      <c r="N93" t="str">
        <f>TEXT(GFashionHouse[[#This Row],[Last Purchase Date]],"MMMM")</f>
        <v>August</v>
      </c>
      <c r="O93">
        <f>MONTH(GFashionHouse[[#This Row],[Last Purchase Date]])</f>
        <v>8</v>
      </c>
    </row>
    <row r="94" spans="1:15" x14ac:dyDescent="0.3">
      <c r="A94" t="s">
        <v>220</v>
      </c>
      <c r="B94" t="s">
        <v>221</v>
      </c>
      <c r="C94" t="s">
        <v>14</v>
      </c>
      <c r="D94">
        <v>23</v>
      </c>
      <c r="E94" t="s">
        <v>246</v>
      </c>
      <c r="F94" t="s">
        <v>42</v>
      </c>
      <c r="G94" t="s">
        <v>52</v>
      </c>
      <c r="H94" t="s">
        <v>31</v>
      </c>
      <c r="I94" t="s">
        <v>23</v>
      </c>
      <c r="J94">
        <v>4</v>
      </c>
      <c r="K94">
        <v>117564</v>
      </c>
      <c r="L94" s="2">
        <v>46227</v>
      </c>
      <c r="M94">
        <f>YEAR(GFashionHouse[[#This Row],[Last Purchase Date]])</f>
        <v>2026</v>
      </c>
      <c r="N94" t="str">
        <f>TEXT(GFashionHouse[[#This Row],[Last Purchase Date]],"MMMM")</f>
        <v>July</v>
      </c>
      <c r="O94">
        <f>MONTH(GFashionHouse[[#This Row],[Last Purchase Date]])</f>
        <v>7</v>
      </c>
    </row>
    <row r="95" spans="1:15" x14ac:dyDescent="0.3">
      <c r="A95" t="s">
        <v>222</v>
      </c>
      <c r="B95" t="s">
        <v>223</v>
      </c>
      <c r="C95" t="s">
        <v>14</v>
      </c>
      <c r="D95">
        <v>32</v>
      </c>
      <c r="E95" t="s">
        <v>247</v>
      </c>
      <c r="F95" t="s">
        <v>87</v>
      </c>
      <c r="G95" t="s">
        <v>38</v>
      </c>
      <c r="H95" t="s">
        <v>35</v>
      </c>
      <c r="I95" t="s">
        <v>78</v>
      </c>
      <c r="J95">
        <v>8</v>
      </c>
      <c r="K95">
        <v>296696</v>
      </c>
      <c r="L95" s="2">
        <v>45695</v>
      </c>
      <c r="M95">
        <f>YEAR(GFashionHouse[[#This Row],[Last Purchase Date]])</f>
        <v>2025</v>
      </c>
      <c r="N95" t="str">
        <f>TEXT(GFashionHouse[[#This Row],[Last Purchase Date]],"MMMM")</f>
        <v>February</v>
      </c>
      <c r="O95">
        <f>MONTH(GFashionHouse[[#This Row],[Last Purchase Date]])</f>
        <v>2</v>
      </c>
    </row>
    <row r="96" spans="1:15" x14ac:dyDescent="0.3">
      <c r="A96" t="s">
        <v>224</v>
      </c>
      <c r="B96" t="s">
        <v>225</v>
      </c>
      <c r="C96" t="s">
        <v>14</v>
      </c>
      <c r="D96">
        <v>40</v>
      </c>
      <c r="E96" t="s">
        <v>247</v>
      </c>
      <c r="F96" t="s">
        <v>21</v>
      </c>
      <c r="G96" t="s">
        <v>16</v>
      </c>
      <c r="H96" t="s">
        <v>22</v>
      </c>
      <c r="I96" t="s">
        <v>18</v>
      </c>
      <c r="J96">
        <v>8</v>
      </c>
      <c r="K96">
        <v>181312</v>
      </c>
      <c r="L96" s="2">
        <v>45901</v>
      </c>
      <c r="M96">
        <f>YEAR(GFashionHouse[[#This Row],[Last Purchase Date]])</f>
        <v>2025</v>
      </c>
      <c r="N96" t="str">
        <f>TEXT(GFashionHouse[[#This Row],[Last Purchase Date]],"MMMM")</f>
        <v>September</v>
      </c>
      <c r="O96">
        <f>MONTH(GFashionHouse[[#This Row],[Last Purchase Date]])</f>
        <v>9</v>
      </c>
    </row>
    <row r="97" spans="1:15" x14ac:dyDescent="0.3">
      <c r="A97" t="s">
        <v>226</v>
      </c>
      <c r="B97" t="s">
        <v>227</v>
      </c>
      <c r="C97" t="s">
        <v>14</v>
      </c>
      <c r="D97">
        <v>31</v>
      </c>
      <c r="E97" t="s">
        <v>247</v>
      </c>
      <c r="F97" t="s">
        <v>27</v>
      </c>
      <c r="G97" t="s">
        <v>38</v>
      </c>
      <c r="H97" t="s">
        <v>39</v>
      </c>
      <c r="I97" t="s">
        <v>28</v>
      </c>
      <c r="J97">
        <v>2</v>
      </c>
      <c r="K97">
        <v>107376</v>
      </c>
      <c r="L97" s="2">
        <v>45892</v>
      </c>
      <c r="M97">
        <f>YEAR(GFashionHouse[[#This Row],[Last Purchase Date]])</f>
        <v>2025</v>
      </c>
      <c r="N97" t="str">
        <f>TEXT(GFashionHouse[[#This Row],[Last Purchase Date]],"MMMM")</f>
        <v>August</v>
      </c>
      <c r="O97">
        <f>MONTH(GFashionHouse[[#This Row],[Last Purchase Date]])</f>
        <v>8</v>
      </c>
    </row>
    <row r="98" spans="1:15" x14ac:dyDescent="0.3">
      <c r="A98" t="s">
        <v>228</v>
      </c>
      <c r="B98" t="s">
        <v>229</v>
      </c>
      <c r="C98" t="s">
        <v>26</v>
      </c>
      <c r="D98">
        <v>19</v>
      </c>
      <c r="E98" t="s">
        <v>246</v>
      </c>
      <c r="F98" t="s">
        <v>21</v>
      </c>
      <c r="G98" t="s">
        <v>38</v>
      </c>
      <c r="H98" t="s">
        <v>31</v>
      </c>
      <c r="I98" t="s">
        <v>23</v>
      </c>
      <c r="J98">
        <v>3</v>
      </c>
      <c r="K98">
        <v>114477</v>
      </c>
      <c r="L98" s="2">
        <v>46271</v>
      </c>
      <c r="M98">
        <f>YEAR(GFashionHouse[[#This Row],[Last Purchase Date]])</f>
        <v>2026</v>
      </c>
      <c r="N98" t="str">
        <f>TEXT(GFashionHouse[[#This Row],[Last Purchase Date]],"MMMM")</f>
        <v>September</v>
      </c>
      <c r="O98">
        <f>MONTH(GFashionHouse[[#This Row],[Last Purchase Date]])</f>
        <v>9</v>
      </c>
    </row>
    <row r="99" spans="1:15" x14ac:dyDescent="0.3">
      <c r="A99" t="s">
        <v>230</v>
      </c>
      <c r="B99" t="s">
        <v>231</v>
      </c>
      <c r="C99" t="s">
        <v>14</v>
      </c>
      <c r="D99">
        <v>40</v>
      </c>
      <c r="E99" t="s">
        <v>247</v>
      </c>
      <c r="F99" t="s">
        <v>51</v>
      </c>
      <c r="G99" t="s">
        <v>38</v>
      </c>
      <c r="H99" t="s">
        <v>31</v>
      </c>
      <c r="I99" t="s">
        <v>44</v>
      </c>
      <c r="J99">
        <v>5</v>
      </c>
      <c r="K99">
        <v>221890</v>
      </c>
      <c r="L99" s="2">
        <v>45940</v>
      </c>
      <c r="M99">
        <f>YEAR(GFashionHouse[[#This Row],[Last Purchase Date]])</f>
        <v>2025</v>
      </c>
      <c r="N99" t="str">
        <f>TEXT(GFashionHouse[[#This Row],[Last Purchase Date]],"MMMM")</f>
        <v>October</v>
      </c>
      <c r="O99">
        <f>MONTH(GFashionHouse[[#This Row],[Last Purchase Date]])</f>
        <v>10</v>
      </c>
    </row>
    <row r="100" spans="1:15" x14ac:dyDescent="0.3">
      <c r="A100" t="s">
        <v>232</v>
      </c>
      <c r="B100" t="s">
        <v>233</v>
      </c>
      <c r="C100" t="s">
        <v>14</v>
      </c>
      <c r="D100">
        <v>19</v>
      </c>
      <c r="E100" t="s">
        <v>246</v>
      </c>
      <c r="F100" t="s">
        <v>21</v>
      </c>
      <c r="G100" t="s">
        <v>52</v>
      </c>
      <c r="H100" t="s">
        <v>31</v>
      </c>
      <c r="I100" t="s">
        <v>18</v>
      </c>
      <c r="J100">
        <v>7</v>
      </c>
      <c r="K100">
        <v>273861</v>
      </c>
      <c r="L100" s="2">
        <v>46280</v>
      </c>
      <c r="M100">
        <f>YEAR(GFashionHouse[[#This Row],[Last Purchase Date]])</f>
        <v>2026</v>
      </c>
      <c r="N100" t="str">
        <f>TEXT(GFashionHouse[[#This Row],[Last Purchase Date]],"MMMM")</f>
        <v>September</v>
      </c>
      <c r="O100">
        <f>MONTH(GFashionHouse[[#This Row],[Last Purchase Date]])</f>
        <v>9</v>
      </c>
    </row>
    <row r="101" spans="1:15" x14ac:dyDescent="0.3">
      <c r="A101" t="s">
        <v>234</v>
      </c>
      <c r="B101" t="s">
        <v>235</v>
      </c>
      <c r="C101" t="s">
        <v>26</v>
      </c>
      <c r="D101">
        <v>39</v>
      </c>
      <c r="E101" t="s">
        <v>247</v>
      </c>
      <c r="F101" t="s">
        <v>34</v>
      </c>
      <c r="G101" t="s">
        <v>52</v>
      </c>
      <c r="H101" t="s">
        <v>17</v>
      </c>
      <c r="I101" t="s">
        <v>44</v>
      </c>
      <c r="J101">
        <v>1</v>
      </c>
      <c r="K101">
        <v>35662</v>
      </c>
      <c r="L101" s="2">
        <v>46252</v>
      </c>
      <c r="M101">
        <f>YEAR(GFashionHouse[[#This Row],[Last Purchase Date]])</f>
        <v>2026</v>
      </c>
      <c r="N101" t="str">
        <f>TEXT(GFashionHouse[[#This Row],[Last Purchase Date]],"MMMM")</f>
        <v>August</v>
      </c>
      <c r="O101">
        <f>MONTH(GFashionHouse[[#This Row],[Last Purchase Date]])</f>
        <v>8</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workbookViewId="0">
      <selection activeCell="A11" sqref="A11"/>
    </sheetView>
  </sheetViews>
  <sheetFormatPr defaultRowHeight="14.4" x14ac:dyDescent="0.3"/>
  <cols>
    <col min="1" max="1" width="28" customWidth="1"/>
    <col min="2" max="2" width="18" customWidth="1"/>
  </cols>
  <sheetData>
    <row r="1" spans="1:2" x14ac:dyDescent="0.3">
      <c r="A1" s="1" t="s">
        <v>236</v>
      </c>
      <c r="B1" s="1" t="s">
        <v>237</v>
      </c>
    </row>
    <row r="2" spans="1:2" x14ac:dyDescent="0.3">
      <c r="A2" t="s">
        <v>238</v>
      </c>
      <c r="B2">
        <v>100</v>
      </c>
    </row>
    <row r="3" spans="1:2" x14ac:dyDescent="0.3">
      <c r="A3" t="s">
        <v>239</v>
      </c>
      <c r="B3">
        <v>80</v>
      </c>
    </row>
    <row r="4" spans="1:2" x14ac:dyDescent="0.3">
      <c r="A4" t="s">
        <v>240</v>
      </c>
      <c r="B4">
        <v>20</v>
      </c>
    </row>
    <row r="5" spans="1:2" x14ac:dyDescent="0.3">
      <c r="A5" t="s">
        <v>241</v>
      </c>
      <c r="B5">
        <v>80</v>
      </c>
    </row>
    <row r="6" spans="1:2" x14ac:dyDescent="0.3">
      <c r="A6" t="s">
        <v>242</v>
      </c>
      <c r="B6">
        <v>20</v>
      </c>
    </row>
    <row r="7" spans="1:2" x14ac:dyDescent="0.3">
      <c r="A7" t="s">
        <v>243</v>
      </c>
      <c r="B7">
        <v>18</v>
      </c>
    </row>
    <row r="8" spans="1:2" x14ac:dyDescent="0.3">
      <c r="A8" t="s">
        <v>244</v>
      </c>
      <c r="B8">
        <v>40</v>
      </c>
    </row>
    <row r="9" spans="1:2" x14ac:dyDescent="0.3">
      <c r="A9" t="s">
        <v>245</v>
      </c>
      <c r="B9">
        <v>0</v>
      </c>
    </row>
    <row r="10" spans="1:2" x14ac:dyDescent="0.3">
      <c r="A10" t="s">
        <v>274</v>
      </c>
      <c r="B10" s="16">
        <f>AVERAGE(GFashionHouse[Total Spend (₦)])</f>
        <v>185158.57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vt:lpstr>
      <vt:lpstr>Dashboard</vt:lpstr>
      <vt:lpstr>Customer Data</vt:lpstr>
      <vt:lpstr>Data Check</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2026-09-28T00:38:27Z</dcterms:created>
  <dcterms:modified xsi:type="dcterms:W3CDTF">2026-10-27T13:20:59Z</dcterms:modified>
</cp:coreProperties>
</file>