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DELL\OneDrive\Desktop\"/>
    </mc:Choice>
  </mc:AlternateContent>
  <bookViews>
    <workbookView xWindow="-120" yWindow="-120" windowWidth="20736" windowHeight="11040" activeTab="3"/>
  </bookViews>
  <sheets>
    <sheet name="Procurement Data" sheetId="1" r:id="rId1"/>
    <sheet name="Data Analysis Stage" sheetId="2" r:id="rId2"/>
    <sheet name="Pivot Table" sheetId="3" r:id="rId3"/>
    <sheet name="Dashboard" sheetId="4" r:id="rId4"/>
  </sheets>
  <definedNames>
    <definedName name="_xlnm._FilterDatabase" localSheetId="0" hidden="1">'Procurement Data'!$B$1:$V$1</definedName>
    <definedName name="_xlcn.WorksheetConnection_ProcurementDataset.xlsxTable11" hidden="1">Procurement[]</definedName>
    <definedName name="Slicer_Hospital">#N/A</definedName>
    <definedName name="Slicer_Supplier">#N/A</definedName>
  </definedNames>
  <calcPr calcId="152511"/>
  <pivotCaches>
    <pivotCache cacheId="0"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4" r:id="rId17"/>
    <pivotCache cacheId="18" r:id="rId18"/>
    <pivotCache cacheId="21" r:id="rId19"/>
  </pivotCaches>
  <extLst>
    <ext xmlns:x14="http://schemas.microsoft.com/office/spreadsheetml/2009/9/main" uri="{876F7934-8845-4945-9796-88D515C7AA90}">
      <x14:pivotCaches>
        <pivotCache cacheId="15"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2626b7b7-58b8-4697-b4a8-5165d6e66bba" name="Table1" connection="WorksheetConnection_Procurement 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 i="2" l="1"/>
  <c r="B11" i="2"/>
  <c r="B10" i="2"/>
  <c r="B15" i="2" l="1"/>
  <c r="B14" i="2" l="1"/>
  <c r="B13" i="2" l="1"/>
  <c r="B9" i="2"/>
  <c r="B8" i="2"/>
  <c r="B7" i="2"/>
  <c r="B6" i="2"/>
  <c r="B5" i="2"/>
  <c r="B4" i="2"/>
  <c r="B3" i="2"/>
  <c r="B2" i="2"/>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P2" i="1"/>
  <c r="W2" i="1" s="1"/>
  <c r="P3" i="1"/>
  <c r="W3" i="1" s="1"/>
  <c r="P4" i="1"/>
  <c r="W4" i="1" s="1"/>
  <c r="P5" i="1"/>
  <c r="W5" i="1" s="1"/>
  <c r="P6" i="1"/>
  <c r="W6" i="1" s="1"/>
  <c r="P7" i="1"/>
  <c r="W7" i="1" s="1"/>
  <c r="P8" i="1"/>
  <c r="W8" i="1" s="1"/>
  <c r="P9" i="1"/>
  <c r="W9" i="1" s="1"/>
  <c r="P10" i="1"/>
  <c r="W10" i="1" s="1"/>
  <c r="P11" i="1"/>
  <c r="W11" i="1" s="1"/>
  <c r="P12" i="1"/>
  <c r="W12" i="1" s="1"/>
  <c r="P13" i="1"/>
  <c r="W13" i="1" s="1"/>
  <c r="P14" i="1"/>
  <c r="W14" i="1" s="1"/>
  <c r="P15" i="1"/>
  <c r="W15" i="1" s="1"/>
  <c r="P16" i="1"/>
  <c r="W16" i="1" s="1"/>
  <c r="P17" i="1"/>
  <c r="W17" i="1" s="1"/>
  <c r="P18" i="1"/>
  <c r="W18" i="1" s="1"/>
  <c r="P19" i="1"/>
  <c r="W19" i="1" s="1"/>
  <c r="P20" i="1"/>
  <c r="W20" i="1" s="1"/>
  <c r="P21" i="1"/>
  <c r="W21" i="1" s="1"/>
  <c r="P22" i="1"/>
  <c r="W22" i="1" s="1"/>
  <c r="P23" i="1"/>
  <c r="W23" i="1" s="1"/>
  <c r="P24" i="1"/>
  <c r="W24" i="1" s="1"/>
  <c r="P25" i="1"/>
  <c r="W25" i="1" s="1"/>
  <c r="P26" i="1"/>
  <c r="W26" i="1" s="1"/>
  <c r="P27" i="1"/>
  <c r="W27" i="1" s="1"/>
  <c r="P28" i="1"/>
  <c r="W28" i="1" s="1"/>
  <c r="P29" i="1"/>
  <c r="W29" i="1" s="1"/>
  <c r="P30" i="1"/>
  <c r="W30" i="1" s="1"/>
  <c r="P31" i="1"/>
  <c r="W31" i="1" s="1"/>
  <c r="P32" i="1"/>
  <c r="W32" i="1" s="1"/>
  <c r="P33" i="1"/>
  <c r="W33" i="1" s="1"/>
  <c r="P34" i="1"/>
  <c r="W34" i="1" s="1"/>
  <c r="P35" i="1"/>
  <c r="W35" i="1" s="1"/>
  <c r="P36" i="1"/>
  <c r="W36" i="1" s="1"/>
  <c r="P37" i="1"/>
  <c r="W37" i="1" s="1"/>
  <c r="P38" i="1"/>
  <c r="W38" i="1" s="1"/>
  <c r="P39" i="1"/>
  <c r="W39" i="1" s="1"/>
  <c r="P40" i="1"/>
  <c r="W40" i="1" s="1"/>
  <c r="P41" i="1"/>
  <c r="W41" i="1" s="1"/>
  <c r="P42" i="1"/>
  <c r="W42" i="1" s="1"/>
  <c r="P43" i="1"/>
  <c r="W43" i="1" s="1"/>
  <c r="P44" i="1"/>
  <c r="W44" i="1" s="1"/>
  <c r="P45" i="1"/>
  <c r="W45" i="1" s="1"/>
  <c r="P46" i="1"/>
  <c r="W46" i="1" s="1"/>
  <c r="P47" i="1"/>
  <c r="W47" i="1" s="1"/>
  <c r="P48" i="1"/>
  <c r="W48" i="1" s="1"/>
  <c r="P49" i="1"/>
  <c r="W49" i="1" s="1"/>
  <c r="P50" i="1"/>
  <c r="W50" i="1" s="1"/>
  <c r="P51" i="1"/>
  <c r="W51" i="1" s="1"/>
  <c r="P52" i="1"/>
  <c r="W52" i="1" s="1"/>
  <c r="P53" i="1"/>
  <c r="W53" i="1" s="1"/>
  <c r="P54" i="1"/>
  <c r="W54" i="1" s="1"/>
  <c r="P55" i="1"/>
  <c r="W55" i="1" s="1"/>
  <c r="P56" i="1"/>
  <c r="W56" i="1" s="1"/>
  <c r="P57" i="1"/>
  <c r="W57" i="1" s="1"/>
  <c r="P58" i="1"/>
  <c r="W58" i="1" s="1"/>
  <c r="P59" i="1"/>
  <c r="W59" i="1" s="1"/>
  <c r="P60" i="1"/>
  <c r="W60" i="1" s="1"/>
  <c r="P61" i="1"/>
  <c r="W61" i="1" s="1"/>
  <c r="P62" i="1"/>
  <c r="W62" i="1" s="1"/>
  <c r="P63" i="1"/>
  <c r="W63" i="1" s="1"/>
  <c r="P64" i="1"/>
  <c r="W64" i="1" s="1"/>
  <c r="P65" i="1"/>
  <c r="W65" i="1" s="1"/>
  <c r="P66" i="1"/>
  <c r="W66" i="1" s="1"/>
  <c r="P67" i="1"/>
  <c r="W67" i="1" s="1"/>
  <c r="P68" i="1"/>
  <c r="W68" i="1" s="1"/>
  <c r="P69" i="1"/>
  <c r="W69" i="1" s="1"/>
  <c r="P70" i="1"/>
  <c r="W70" i="1" s="1"/>
  <c r="P71" i="1"/>
  <c r="W71" i="1" s="1"/>
  <c r="P72" i="1"/>
  <c r="W72" i="1" s="1"/>
  <c r="P73" i="1"/>
  <c r="W73" i="1" s="1"/>
  <c r="P74" i="1"/>
  <c r="W74" i="1" s="1"/>
  <c r="P75" i="1"/>
  <c r="W75" i="1" s="1"/>
  <c r="P76" i="1"/>
  <c r="W76" i="1" s="1"/>
  <c r="P77" i="1"/>
  <c r="W77" i="1" s="1"/>
  <c r="P78" i="1"/>
  <c r="W78" i="1" s="1"/>
  <c r="P79" i="1"/>
  <c r="W79" i="1" s="1"/>
  <c r="P80" i="1"/>
  <c r="W80" i="1" s="1"/>
  <c r="P81" i="1"/>
  <c r="W81" i="1" s="1"/>
  <c r="P82" i="1"/>
  <c r="W82" i="1" s="1"/>
  <c r="P83" i="1"/>
  <c r="W83" i="1" s="1"/>
  <c r="P84" i="1"/>
  <c r="W84" i="1" s="1"/>
  <c r="P85" i="1"/>
  <c r="W85" i="1" s="1"/>
  <c r="P86" i="1"/>
  <c r="W86" i="1" s="1"/>
  <c r="P87" i="1"/>
  <c r="W87" i="1" s="1"/>
  <c r="P88" i="1"/>
  <c r="W88" i="1" s="1"/>
  <c r="P89" i="1"/>
  <c r="W89" i="1" s="1"/>
  <c r="P90" i="1"/>
  <c r="W90" i="1" s="1"/>
  <c r="P91" i="1"/>
  <c r="W91" i="1" s="1"/>
  <c r="P92" i="1"/>
  <c r="W92" i="1" s="1"/>
  <c r="P93" i="1"/>
  <c r="W93" i="1" s="1"/>
  <c r="P94" i="1"/>
  <c r="W94" i="1" s="1"/>
  <c r="P95" i="1"/>
  <c r="W95" i="1" s="1"/>
  <c r="P96" i="1"/>
  <c r="W96" i="1" s="1"/>
  <c r="P97" i="1"/>
  <c r="W97" i="1" s="1"/>
  <c r="P98" i="1"/>
  <c r="W98" i="1" s="1"/>
  <c r="P99" i="1"/>
  <c r="W99" i="1" s="1"/>
  <c r="P100" i="1"/>
  <c r="W100" i="1" s="1"/>
  <c r="P101" i="1"/>
  <c r="W101" i="1" s="1"/>
  <c r="P102" i="1"/>
  <c r="W102" i="1" s="1"/>
  <c r="P103" i="1"/>
  <c r="W103" i="1" s="1"/>
  <c r="P104" i="1"/>
  <c r="W104" i="1" s="1"/>
  <c r="P105" i="1"/>
  <c r="W105" i="1" s="1"/>
  <c r="P106" i="1"/>
  <c r="W106" i="1" s="1"/>
  <c r="P107" i="1"/>
  <c r="W107" i="1" s="1"/>
  <c r="P108" i="1"/>
  <c r="W108" i="1" s="1"/>
  <c r="P109" i="1"/>
  <c r="W109" i="1" s="1"/>
  <c r="P110" i="1"/>
  <c r="W110" i="1" s="1"/>
  <c r="P111" i="1"/>
  <c r="W111" i="1" s="1"/>
  <c r="P112" i="1"/>
  <c r="W112" i="1" s="1"/>
  <c r="P113" i="1"/>
  <c r="W113" i="1" s="1"/>
  <c r="P114" i="1"/>
  <c r="W114" i="1" s="1"/>
  <c r="P115" i="1"/>
  <c r="W115" i="1" s="1"/>
  <c r="P116" i="1"/>
  <c r="W116" i="1" s="1"/>
  <c r="P117" i="1"/>
  <c r="W117" i="1" s="1"/>
  <c r="P118" i="1"/>
  <c r="W118" i="1" s="1"/>
  <c r="P119" i="1"/>
  <c r="W119" i="1" s="1"/>
  <c r="P120" i="1"/>
  <c r="W120" i="1" s="1"/>
  <c r="P121" i="1"/>
  <c r="W121" i="1" s="1"/>
  <c r="P122" i="1"/>
  <c r="W122" i="1" s="1"/>
  <c r="P123" i="1"/>
  <c r="W123" i="1" s="1"/>
  <c r="P124" i="1"/>
  <c r="W124" i="1" s="1"/>
  <c r="P125" i="1"/>
  <c r="W125" i="1" s="1"/>
  <c r="P126" i="1"/>
  <c r="W126" i="1" s="1"/>
  <c r="P127" i="1"/>
  <c r="W127" i="1" s="1"/>
  <c r="P128" i="1"/>
  <c r="W128" i="1" s="1"/>
  <c r="P129" i="1"/>
  <c r="W129" i="1" s="1"/>
  <c r="P130" i="1"/>
  <c r="W130" i="1" s="1"/>
  <c r="P131" i="1"/>
  <c r="W131" i="1" s="1"/>
  <c r="P132" i="1"/>
  <c r="W132" i="1" s="1"/>
  <c r="P133" i="1"/>
  <c r="W133" i="1" s="1"/>
  <c r="P134" i="1"/>
  <c r="W134" i="1" s="1"/>
  <c r="P135" i="1"/>
  <c r="W135" i="1" s="1"/>
  <c r="P136" i="1"/>
  <c r="W136" i="1" s="1"/>
  <c r="P137" i="1"/>
  <c r="W137" i="1" s="1"/>
  <c r="P138" i="1"/>
  <c r="W138" i="1" s="1"/>
  <c r="P139" i="1"/>
  <c r="W139" i="1" s="1"/>
  <c r="P140" i="1"/>
  <c r="W140" i="1" s="1"/>
  <c r="P141" i="1"/>
  <c r="W141" i="1" s="1"/>
  <c r="P142" i="1"/>
  <c r="W142" i="1" s="1"/>
  <c r="P143" i="1"/>
  <c r="W143" i="1" s="1"/>
  <c r="P144" i="1"/>
  <c r="W144" i="1" s="1"/>
  <c r="P145" i="1"/>
  <c r="W145" i="1" s="1"/>
  <c r="P146" i="1"/>
  <c r="W146" i="1" s="1"/>
  <c r="P147" i="1"/>
  <c r="W147" i="1" s="1"/>
  <c r="P148" i="1"/>
  <c r="W148" i="1" s="1"/>
  <c r="P149" i="1"/>
  <c r="W149" i="1" s="1"/>
  <c r="P150" i="1"/>
  <c r="W150" i="1" s="1"/>
  <c r="P151" i="1"/>
  <c r="W151" i="1" s="1"/>
  <c r="P152" i="1"/>
  <c r="W152" i="1" s="1"/>
  <c r="P153" i="1"/>
  <c r="W153" i="1" s="1"/>
  <c r="P154" i="1"/>
  <c r="W154" i="1" s="1"/>
  <c r="P155" i="1"/>
  <c r="W155" i="1" s="1"/>
  <c r="P156" i="1"/>
  <c r="W156" i="1" s="1"/>
  <c r="P157" i="1"/>
  <c r="W157" i="1" s="1"/>
  <c r="P158" i="1"/>
  <c r="W158" i="1" s="1"/>
  <c r="P159" i="1"/>
  <c r="W159" i="1" s="1"/>
  <c r="P160" i="1"/>
  <c r="W160" i="1" s="1"/>
  <c r="P161" i="1"/>
  <c r="W161" i="1" s="1"/>
  <c r="P162" i="1"/>
  <c r="W162" i="1" s="1"/>
  <c r="P163" i="1"/>
  <c r="W163" i="1" s="1"/>
  <c r="P164" i="1"/>
  <c r="W164" i="1" s="1"/>
  <c r="P165" i="1"/>
  <c r="W165" i="1" s="1"/>
  <c r="P166" i="1"/>
  <c r="W166" i="1" s="1"/>
  <c r="P167" i="1"/>
  <c r="W167" i="1" s="1"/>
  <c r="P168" i="1"/>
  <c r="W168" i="1" s="1"/>
  <c r="P169" i="1"/>
  <c r="W169" i="1" s="1"/>
  <c r="P170" i="1"/>
  <c r="W170" i="1" s="1"/>
  <c r="P171" i="1"/>
  <c r="W171" i="1" s="1"/>
  <c r="P172" i="1"/>
  <c r="W172" i="1" s="1"/>
  <c r="P173" i="1"/>
  <c r="W173" i="1" s="1"/>
  <c r="P174" i="1"/>
  <c r="W174" i="1" s="1"/>
  <c r="P175" i="1"/>
  <c r="W175" i="1" s="1"/>
  <c r="P176" i="1"/>
  <c r="W176" i="1" s="1"/>
  <c r="P177" i="1"/>
  <c r="W177" i="1" s="1"/>
  <c r="P178" i="1"/>
  <c r="W178" i="1" s="1"/>
  <c r="P179" i="1"/>
  <c r="W179" i="1" s="1"/>
  <c r="P180" i="1"/>
  <c r="W180" i="1" s="1"/>
  <c r="P181" i="1"/>
  <c r="W181" i="1" s="1"/>
  <c r="P182" i="1"/>
  <c r="W182" i="1" s="1"/>
  <c r="P183" i="1"/>
  <c r="W183" i="1" s="1"/>
  <c r="P184" i="1"/>
  <c r="W184" i="1" s="1"/>
  <c r="P185" i="1"/>
  <c r="W185" i="1" s="1"/>
  <c r="P186" i="1"/>
  <c r="W186" i="1" s="1"/>
  <c r="P187" i="1"/>
  <c r="W187" i="1" s="1"/>
  <c r="P188" i="1"/>
  <c r="W188" i="1" s="1"/>
  <c r="P189" i="1"/>
  <c r="W189" i="1" s="1"/>
  <c r="P190" i="1"/>
  <c r="W190" i="1" s="1"/>
  <c r="P191" i="1"/>
  <c r="W191" i="1" s="1"/>
  <c r="P192" i="1"/>
  <c r="W192" i="1" s="1"/>
  <c r="P193" i="1"/>
  <c r="W193" i="1" s="1"/>
  <c r="P194" i="1"/>
  <c r="W194" i="1" s="1"/>
  <c r="P195" i="1"/>
  <c r="W195" i="1" s="1"/>
  <c r="P196" i="1"/>
  <c r="W196" i="1" s="1"/>
  <c r="P197" i="1"/>
  <c r="W197" i="1" s="1"/>
  <c r="P198" i="1"/>
  <c r="W198" i="1" s="1"/>
  <c r="P199" i="1"/>
  <c r="W199" i="1" s="1"/>
  <c r="P200" i="1"/>
  <c r="W200" i="1" s="1"/>
  <c r="P201" i="1"/>
  <c r="W201" i="1" s="1"/>
  <c r="P202" i="1"/>
  <c r="W202" i="1" s="1"/>
  <c r="P203" i="1"/>
  <c r="W203" i="1" s="1"/>
  <c r="P204" i="1"/>
  <c r="W204" i="1" s="1"/>
  <c r="P205" i="1"/>
  <c r="W205" i="1" s="1"/>
  <c r="P206" i="1"/>
  <c r="W206" i="1" s="1"/>
  <c r="P207" i="1"/>
  <c r="W207" i="1" s="1"/>
  <c r="P208" i="1"/>
  <c r="W208" i="1" s="1"/>
  <c r="P209" i="1"/>
  <c r="W209" i="1" s="1"/>
  <c r="P210" i="1"/>
  <c r="W210" i="1" s="1"/>
  <c r="P211" i="1"/>
  <c r="W211" i="1" s="1"/>
  <c r="P212" i="1"/>
  <c r="W212" i="1" s="1"/>
  <c r="P213" i="1"/>
  <c r="W213" i="1" s="1"/>
  <c r="P214" i="1"/>
  <c r="W214" i="1" s="1"/>
  <c r="P215" i="1"/>
  <c r="W215" i="1" s="1"/>
  <c r="P216" i="1"/>
  <c r="W216" i="1" s="1"/>
  <c r="P217" i="1"/>
  <c r="W217" i="1" s="1"/>
  <c r="P218" i="1"/>
  <c r="W218" i="1" s="1"/>
  <c r="P219" i="1"/>
  <c r="W219" i="1" s="1"/>
  <c r="P220" i="1"/>
  <c r="W220" i="1" s="1"/>
  <c r="P221" i="1"/>
  <c r="W221" i="1" s="1"/>
  <c r="P222" i="1"/>
  <c r="W222" i="1" s="1"/>
  <c r="P223" i="1"/>
  <c r="W223" i="1" s="1"/>
  <c r="P224" i="1"/>
  <c r="W224" i="1" s="1"/>
  <c r="P225" i="1"/>
  <c r="W225" i="1" s="1"/>
  <c r="P226" i="1"/>
  <c r="W226" i="1" s="1"/>
  <c r="P227" i="1"/>
  <c r="W227" i="1" s="1"/>
  <c r="P228" i="1"/>
  <c r="W228" i="1" s="1"/>
  <c r="P229" i="1"/>
  <c r="W229" i="1" s="1"/>
  <c r="P230" i="1"/>
  <c r="W230" i="1" s="1"/>
  <c r="P231" i="1"/>
  <c r="W231" i="1" s="1"/>
  <c r="P232" i="1"/>
  <c r="W232" i="1" s="1"/>
  <c r="P233" i="1"/>
  <c r="W233" i="1" s="1"/>
  <c r="P234" i="1"/>
  <c r="W234" i="1" s="1"/>
  <c r="P235" i="1"/>
  <c r="W235" i="1" s="1"/>
  <c r="P236" i="1"/>
  <c r="W236" i="1" s="1"/>
  <c r="P237" i="1"/>
  <c r="W237" i="1" s="1"/>
  <c r="P238" i="1"/>
  <c r="W238" i="1" s="1"/>
  <c r="P239" i="1"/>
  <c r="W239" i="1" s="1"/>
  <c r="P240" i="1"/>
  <c r="W240" i="1" s="1"/>
  <c r="P241" i="1"/>
  <c r="W241" i="1" s="1"/>
  <c r="P242" i="1"/>
  <c r="W242" i="1" s="1"/>
  <c r="P243" i="1"/>
  <c r="W243" i="1" s="1"/>
  <c r="P244" i="1"/>
  <c r="W244" i="1" s="1"/>
  <c r="P245" i="1"/>
  <c r="W245" i="1" s="1"/>
  <c r="P246" i="1"/>
  <c r="W246" i="1" s="1"/>
  <c r="P247" i="1"/>
  <c r="W247" i="1" s="1"/>
  <c r="P248" i="1"/>
  <c r="W248" i="1" s="1"/>
  <c r="P249" i="1"/>
  <c r="W249" i="1" s="1"/>
  <c r="P250" i="1"/>
  <c r="W250" i="1" s="1"/>
  <c r="P251" i="1"/>
  <c r="W251" i="1" s="1"/>
  <c r="P252" i="1"/>
  <c r="W252" i="1" s="1"/>
  <c r="P253" i="1"/>
  <c r="W253" i="1" s="1"/>
  <c r="P254" i="1"/>
  <c r="W254" i="1" s="1"/>
  <c r="P255" i="1"/>
  <c r="W255" i="1" s="1"/>
  <c r="P256" i="1"/>
  <c r="W256" i="1" s="1"/>
  <c r="P257" i="1"/>
  <c r="W257" i="1" s="1"/>
  <c r="P258" i="1"/>
  <c r="W258" i="1" s="1"/>
  <c r="P259" i="1"/>
  <c r="W259" i="1" s="1"/>
  <c r="P260" i="1"/>
  <c r="W260" i="1" s="1"/>
  <c r="P261" i="1"/>
  <c r="W261" i="1" s="1"/>
  <c r="T2" i="1"/>
  <c r="U2" i="1" s="1"/>
  <c r="T3" i="1"/>
  <c r="U3" i="1" s="1"/>
  <c r="T4" i="1"/>
  <c r="U4" i="1" s="1"/>
  <c r="T5" i="1"/>
  <c r="U5" i="1" s="1"/>
  <c r="T6" i="1"/>
  <c r="U6" i="1" s="1"/>
  <c r="T7" i="1"/>
  <c r="U7" i="1" s="1"/>
  <c r="T8" i="1"/>
  <c r="U8" i="1" s="1"/>
  <c r="T9" i="1"/>
  <c r="U9" i="1" s="1"/>
  <c r="T10" i="1"/>
  <c r="U10" i="1" s="1"/>
  <c r="T11" i="1"/>
  <c r="U11" i="1" s="1"/>
  <c r="T12" i="1"/>
  <c r="U12" i="1" s="1"/>
  <c r="T13" i="1"/>
  <c r="U13" i="1" s="1"/>
  <c r="T14" i="1"/>
  <c r="U14" i="1" s="1"/>
  <c r="T15" i="1"/>
  <c r="U15" i="1" s="1"/>
  <c r="T16" i="1"/>
  <c r="U16" i="1" s="1"/>
  <c r="T17" i="1"/>
  <c r="U17" i="1" s="1"/>
  <c r="T18" i="1"/>
  <c r="U18" i="1" s="1"/>
  <c r="T19" i="1"/>
  <c r="U19" i="1" s="1"/>
  <c r="T20" i="1"/>
  <c r="U20" i="1" s="1"/>
  <c r="T21" i="1"/>
  <c r="U21" i="1" s="1"/>
  <c r="T22" i="1"/>
  <c r="U22" i="1" s="1"/>
  <c r="T23" i="1"/>
  <c r="U23" i="1" s="1"/>
  <c r="T24" i="1"/>
  <c r="U24" i="1" s="1"/>
  <c r="T25" i="1"/>
  <c r="U25" i="1" s="1"/>
  <c r="T26" i="1"/>
  <c r="U26" i="1" s="1"/>
  <c r="T27" i="1"/>
  <c r="U27" i="1" s="1"/>
  <c r="T28" i="1"/>
  <c r="U28" i="1" s="1"/>
  <c r="T29" i="1"/>
  <c r="U29" i="1" s="1"/>
  <c r="T30" i="1"/>
  <c r="U30" i="1" s="1"/>
  <c r="T31" i="1"/>
  <c r="U31" i="1" s="1"/>
  <c r="T32" i="1"/>
  <c r="U32" i="1" s="1"/>
  <c r="T33" i="1"/>
  <c r="U33" i="1" s="1"/>
  <c r="T34" i="1"/>
  <c r="U34" i="1" s="1"/>
  <c r="T35" i="1"/>
  <c r="U35" i="1" s="1"/>
  <c r="T36" i="1"/>
  <c r="U36" i="1" s="1"/>
  <c r="T37" i="1"/>
  <c r="U37" i="1" s="1"/>
  <c r="T38" i="1"/>
  <c r="U38" i="1" s="1"/>
  <c r="T39" i="1"/>
  <c r="U39" i="1" s="1"/>
  <c r="T40" i="1"/>
  <c r="U40" i="1" s="1"/>
  <c r="T41" i="1"/>
  <c r="U41" i="1" s="1"/>
  <c r="T42" i="1"/>
  <c r="U42" i="1" s="1"/>
  <c r="T43" i="1"/>
  <c r="U43" i="1" s="1"/>
  <c r="T44" i="1"/>
  <c r="U44" i="1" s="1"/>
  <c r="T45" i="1"/>
  <c r="U45" i="1" s="1"/>
  <c r="T46" i="1"/>
  <c r="U46" i="1" s="1"/>
  <c r="T47" i="1"/>
  <c r="U47" i="1" s="1"/>
  <c r="T48" i="1"/>
  <c r="U48" i="1" s="1"/>
  <c r="T49" i="1"/>
  <c r="U49" i="1" s="1"/>
  <c r="T50" i="1"/>
  <c r="U50" i="1" s="1"/>
  <c r="T51" i="1"/>
  <c r="U51" i="1" s="1"/>
  <c r="T52" i="1"/>
  <c r="U52" i="1" s="1"/>
  <c r="T53" i="1"/>
  <c r="U53" i="1" s="1"/>
  <c r="T54" i="1"/>
  <c r="U54" i="1" s="1"/>
  <c r="T55" i="1"/>
  <c r="U55" i="1" s="1"/>
  <c r="T56" i="1"/>
  <c r="U56" i="1" s="1"/>
  <c r="T57" i="1"/>
  <c r="U57" i="1" s="1"/>
  <c r="T58" i="1"/>
  <c r="U58" i="1" s="1"/>
  <c r="T59" i="1"/>
  <c r="U59" i="1" s="1"/>
  <c r="T60" i="1"/>
  <c r="U60" i="1" s="1"/>
  <c r="T61" i="1"/>
  <c r="U61" i="1" s="1"/>
  <c r="T62" i="1"/>
  <c r="U62" i="1" s="1"/>
  <c r="T63" i="1"/>
  <c r="U63" i="1" s="1"/>
  <c r="T64" i="1"/>
  <c r="U64" i="1" s="1"/>
  <c r="T65" i="1"/>
  <c r="U65" i="1" s="1"/>
  <c r="T66" i="1"/>
  <c r="U66" i="1" s="1"/>
  <c r="T67" i="1"/>
  <c r="U67" i="1" s="1"/>
  <c r="T68" i="1"/>
  <c r="U68" i="1" s="1"/>
  <c r="T69" i="1"/>
  <c r="U69" i="1" s="1"/>
  <c r="T70" i="1"/>
  <c r="U70" i="1" s="1"/>
  <c r="T71" i="1"/>
  <c r="U71" i="1" s="1"/>
  <c r="T72" i="1"/>
  <c r="U72" i="1" s="1"/>
  <c r="T73" i="1"/>
  <c r="U73" i="1" s="1"/>
  <c r="T74" i="1"/>
  <c r="U74" i="1" s="1"/>
  <c r="T75" i="1"/>
  <c r="U75" i="1" s="1"/>
  <c r="T76" i="1"/>
  <c r="U76" i="1" s="1"/>
  <c r="T77" i="1"/>
  <c r="U77" i="1" s="1"/>
  <c r="T78" i="1"/>
  <c r="U78" i="1" s="1"/>
  <c r="T79" i="1"/>
  <c r="U79" i="1" s="1"/>
  <c r="T80" i="1"/>
  <c r="U80" i="1" s="1"/>
  <c r="T81" i="1"/>
  <c r="U81" i="1" s="1"/>
  <c r="T82" i="1"/>
  <c r="U82" i="1" s="1"/>
  <c r="T83" i="1"/>
  <c r="U83" i="1" s="1"/>
  <c r="T84" i="1"/>
  <c r="U84" i="1" s="1"/>
  <c r="T85" i="1"/>
  <c r="U85" i="1" s="1"/>
  <c r="T86" i="1"/>
  <c r="U86" i="1" s="1"/>
  <c r="T87" i="1"/>
  <c r="U87" i="1" s="1"/>
  <c r="T88" i="1"/>
  <c r="U88" i="1" s="1"/>
  <c r="T89" i="1"/>
  <c r="U89" i="1" s="1"/>
  <c r="T90" i="1"/>
  <c r="U90" i="1" s="1"/>
  <c r="T91" i="1"/>
  <c r="U91" i="1" s="1"/>
  <c r="T92" i="1"/>
  <c r="U92" i="1" s="1"/>
  <c r="T93" i="1"/>
  <c r="U93" i="1" s="1"/>
  <c r="T94" i="1"/>
  <c r="U94" i="1" s="1"/>
  <c r="T95" i="1"/>
  <c r="U95" i="1" s="1"/>
  <c r="T96" i="1"/>
  <c r="U96" i="1" s="1"/>
  <c r="T97" i="1"/>
  <c r="U97" i="1" s="1"/>
  <c r="T98" i="1"/>
  <c r="U98" i="1" s="1"/>
  <c r="T99" i="1"/>
  <c r="U99" i="1" s="1"/>
  <c r="T100" i="1"/>
  <c r="U100" i="1" s="1"/>
  <c r="T101" i="1"/>
  <c r="U101" i="1" s="1"/>
  <c r="T102" i="1"/>
  <c r="U102" i="1" s="1"/>
  <c r="T103" i="1"/>
  <c r="U103" i="1" s="1"/>
  <c r="T104" i="1"/>
  <c r="U104" i="1" s="1"/>
  <c r="T105" i="1"/>
  <c r="U105" i="1" s="1"/>
  <c r="T106" i="1"/>
  <c r="U106" i="1" s="1"/>
  <c r="T107" i="1"/>
  <c r="U107" i="1" s="1"/>
  <c r="T108" i="1"/>
  <c r="U108" i="1" s="1"/>
  <c r="T109" i="1"/>
  <c r="U109" i="1" s="1"/>
  <c r="T110" i="1"/>
  <c r="U110" i="1" s="1"/>
  <c r="T111" i="1"/>
  <c r="U111" i="1" s="1"/>
  <c r="T112" i="1"/>
  <c r="U112" i="1" s="1"/>
  <c r="T113" i="1"/>
  <c r="U113" i="1" s="1"/>
  <c r="T114" i="1"/>
  <c r="U114" i="1" s="1"/>
  <c r="T115" i="1"/>
  <c r="U115" i="1" s="1"/>
  <c r="T116" i="1"/>
  <c r="U116" i="1" s="1"/>
  <c r="T117" i="1"/>
  <c r="U117" i="1" s="1"/>
  <c r="T118" i="1"/>
  <c r="U118" i="1" s="1"/>
  <c r="T119" i="1"/>
  <c r="U119" i="1" s="1"/>
  <c r="T120" i="1"/>
  <c r="U120" i="1" s="1"/>
  <c r="T121" i="1"/>
  <c r="U121" i="1" s="1"/>
  <c r="T122" i="1"/>
  <c r="U122" i="1" s="1"/>
  <c r="T123" i="1"/>
  <c r="U123" i="1" s="1"/>
  <c r="T124" i="1"/>
  <c r="U124" i="1" s="1"/>
  <c r="T125" i="1"/>
  <c r="U125" i="1" s="1"/>
  <c r="T126" i="1"/>
  <c r="U126" i="1" s="1"/>
  <c r="T127" i="1"/>
  <c r="U127" i="1" s="1"/>
  <c r="T128" i="1"/>
  <c r="U128" i="1" s="1"/>
  <c r="T129" i="1"/>
  <c r="U129" i="1" s="1"/>
  <c r="T130" i="1"/>
  <c r="U130" i="1" s="1"/>
  <c r="T131" i="1"/>
  <c r="U131" i="1" s="1"/>
  <c r="T132" i="1"/>
  <c r="U132" i="1" s="1"/>
  <c r="T133" i="1"/>
  <c r="U133" i="1" s="1"/>
  <c r="T134" i="1"/>
  <c r="U134" i="1" s="1"/>
  <c r="T135" i="1"/>
  <c r="U135" i="1" s="1"/>
  <c r="T136" i="1"/>
  <c r="U136" i="1" s="1"/>
  <c r="T137" i="1"/>
  <c r="U137" i="1" s="1"/>
  <c r="T138" i="1"/>
  <c r="U138" i="1" s="1"/>
  <c r="T139" i="1"/>
  <c r="U139" i="1" s="1"/>
  <c r="T140" i="1"/>
  <c r="U140" i="1" s="1"/>
  <c r="T141" i="1"/>
  <c r="U141" i="1" s="1"/>
  <c r="T142" i="1"/>
  <c r="U142" i="1" s="1"/>
  <c r="T143" i="1"/>
  <c r="U143" i="1" s="1"/>
  <c r="T144" i="1"/>
  <c r="U144" i="1" s="1"/>
  <c r="T145" i="1"/>
  <c r="U145" i="1" s="1"/>
  <c r="T146" i="1"/>
  <c r="U146" i="1" s="1"/>
  <c r="T147" i="1"/>
  <c r="U147" i="1" s="1"/>
  <c r="T148" i="1"/>
  <c r="U148" i="1" s="1"/>
  <c r="T149" i="1"/>
  <c r="U149" i="1" s="1"/>
  <c r="T150" i="1"/>
  <c r="U150" i="1" s="1"/>
  <c r="T151" i="1"/>
  <c r="U151" i="1" s="1"/>
  <c r="T152" i="1"/>
  <c r="U152" i="1" s="1"/>
  <c r="T153" i="1"/>
  <c r="U153" i="1" s="1"/>
  <c r="T154" i="1"/>
  <c r="U154" i="1" s="1"/>
  <c r="T155" i="1"/>
  <c r="U155" i="1" s="1"/>
  <c r="T156" i="1"/>
  <c r="U156" i="1" s="1"/>
  <c r="T157" i="1"/>
  <c r="U157" i="1" s="1"/>
  <c r="T158" i="1"/>
  <c r="U158" i="1" s="1"/>
  <c r="T159" i="1"/>
  <c r="U159" i="1" s="1"/>
  <c r="T160" i="1"/>
  <c r="U160" i="1" s="1"/>
  <c r="T161" i="1"/>
  <c r="U161" i="1" s="1"/>
  <c r="T162" i="1"/>
  <c r="U162" i="1" s="1"/>
  <c r="T163" i="1"/>
  <c r="U163" i="1" s="1"/>
  <c r="T164" i="1"/>
  <c r="U164" i="1" s="1"/>
  <c r="T165" i="1"/>
  <c r="U165" i="1" s="1"/>
  <c r="T166" i="1"/>
  <c r="U166" i="1" s="1"/>
  <c r="T167" i="1"/>
  <c r="U167" i="1" s="1"/>
  <c r="T168" i="1"/>
  <c r="U168" i="1" s="1"/>
  <c r="T169" i="1"/>
  <c r="U169" i="1" s="1"/>
  <c r="T170" i="1"/>
  <c r="U170" i="1" s="1"/>
  <c r="T171" i="1"/>
  <c r="U171" i="1" s="1"/>
  <c r="T172" i="1"/>
  <c r="U172" i="1" s="1"/>
  <c r="T173" i="1"/>
  <c r="U173" i="1" s="1"/>
  <c r="T174" i="1"/>
  <c r="U174" i="1" s="1"/>
  <c r="T175" i="1"/>
  <c r="U175" i="1" s="1"/>
  <c r="T176" i="1"/>
  <c r="U176" i="1" s="1"/>
  <c r="T177" i="1"/>
  <c r="U177" i="1" s="1"/>
  <c r="T178" i="1"/>
  <c r="U178" i="1" s="1"/>
  <c r="T179" i="1"/>
  <c r="U179" i="1" s="1"/>
  <c r="T180" i="1"/>
  <c r="U180" i="1" s="1"/>
  <c r="T181" i="1"/>
  <c r="U181" i="1" s="1"/>
  <c r="T182" i="1"/>
  <c r="U182" i="1" s="1"/>
  <c r="T183" i="1"/>
  <c r="U183" i="1" s="1"/>
  <c r="T184" i="1"/>
  <c r="U184" i="1" s="1"/>
  <c r="T185" i="1"/>
  <c r="U185" i="1" s="1"/>
  <c r="T186" i="1"/>
  <c r="U186" i="1" s="1"/>
  <c r="T187" i="1"/>
  <c r="U187" i="1" s="1"/>
  <c r="T188" i="1"/>
  <c r="U188" i="1" s="1"/>
  <c r="T189" i="1"/>
  <c r="U189" i="1" s="1"/>
  <c r="T190" i="1"/>
  <c r="U190" i="1" s="1"/>
  <c r="T191" i="1"/>
  <c r="U191" i="1" s="1"/>
  <c r="T192" i="1"/>
  <c r="U192" i="1" s="1"/>
  <c r="T193" i="1"/>
  <c r="U193" i="1" s="1"/>
  <c r="T194" i="1"/>
  <c r="U194" i="1" s="1"/>
  <c r="T195" i="1"/>
  <c r="U195" i="1" s="1"/>
  <c r="T196" i="1"/>
  <c r="U196" i="1" s="1"/>
  <c r="T197" i="1"/>
  <c r="U197" i="1" s="1"/>
  <c r="T198" i="1"/>
  <c r="U198" i="1" s="1"/>
  <c r="T199" i="1"/>
  <c r="U199" i="1" s="1"/>
  <c r="T200" i="1"/>
  <c r="U200" i="1" s="1"/>
  <c r="T201" i="1"/>
  <c r="U201" i="1" s="1"/>
  <c r="T202" i="1"/>
  <c r="U202" i="1" s="1"/>
  <c r="T203" i="1"/>
  <c r="U203" i="1" s="1"/>
  <c r="T204" i="1"/>
  <c r="U204" i="1" s="1"/>
  <c r="T205" i="1"/>
  <c r="U205" i="1" s="1"/>
  <c r="T206" i="1"/>
  <c r="U206" i="1" s="1"/>
  <c r="T207" i="1"/>
  <c r="U207" i="1" s="1"/>
  <c r="T208" i="1"/>
  <c r="U208" i="1" s="1"/>
  <c r="T209" i="1"/>
  <c r="U209" i="1" s="1"/>
  <c r="T210" i="1"/>
  <c r="U210" i="1" s="1"/>
  <c r="T211" i="1"/>
  <c r="U211" i="1" s="1"/>
  <c r="T212" i="1"/>
  <c r="U212" i="1" s="1"/>
  <c r="T213" i="1"/>
  <c r="U213" i="1" s="1"/>
  <c r="T214" i="1"/>
  <c r="U214" i="1" s="1"/>
  <c r="T215" i="1"/>
  <c r="U215" i="1" s="1"/>
  <c r="T216" i="1"/>
  <c r="U216" i="1" s="1"/>
  <c r="T217" i="1"/>
  <c r="U217" i="1" s="1"/>
  <c r="T218" i="1"/>
  <c r="U218" i="1" s="1"/>
  <c r="T219" i="1"/>
  <c r="U219" i="1" s="1"/>
  <c r="T220" i="1"/>
  <c r="U220" i="1" s="1"/>
  <c r="T221" i="1"/>
  <c r="U221" i="1" s="1"/>
  <c r="T222" i="1"/>
  <c r="U222" i="1" s="1"/>
  <c r="T223" i="1"/>
  <c r="U223" i="1" s="1"/>
  <c r="T224" i="1"/>
  <c r="U224" i="1" s="1"/>
  <c r="T225" i="1"/>
  <c r="U225" i="1" s="1"/>
  <c r="T226" i="1"/>
  <c r="U226" i="1" s="1"/>
  <c r="T227" i="1"/>
  <c r="U227" i="1" s="1"/>
  <c r="T228" i="1"/>
  <c r="U228" i="1" s="1"/>
  <c r="T229" i="1"/>
  <c r="U229" i="1" s="1"/>
  <c r="T230" i="1"/>
  <c r="U230" i="1" s="1"/>
  <c r="T231" i="1"/>
  <c r="U231" i="1" s="1"/>
  <c r="T232" i="1"/>
  <c r="U232" i="1" s="1"/>
  <c r="T233" i="1"/>
  <c r="U233" i="1" s="1"/>
  <c r="T234" i="1"/>
  <c r="U234" i="1" s="1"/>
  <c r="T235" i="1"/>
  <c r="U235" i="1" s="1"/>
  <c r="T236" i="1"/>
  <c r="U236" i="1" s="1"/>
  <c r="T237" i="1"/>
  <c r="U237" i="1" s="1"/>
  <c r="T238" i="1"/>
  <c r="U238" i="1" s="1"/>
  <c r="T239" i="1"/>
  <c r="U239" i="1" s="1"/>
  <c r="T240" i="1"/>
  <c r="U240" i="1" s="1"/>
  <c r="T241" i="1"/>
  <c r="U241" i="1" s="1"/>
  <c r="T242" i="1"/>
  <c r="U242" i="1" s="1"/>
  <c r="T243" i="1"/>
  <c r="U243" i="1" s="1"/>
  <c r="T244" i="1"/>
  <c r="U244" i="1" s="1"/>
  <c r="T245" i="1"/>
  <c r="U245" i="1" s="1"/>
  <c r="T246" i="1"/>
  <c r="U246" i="1" s="1"/>
  <c r="T247" i="1"/>
  <c r="U247" i="1" s="1"/>
  <c r="T248" i="1"/>
  <c r="U248" i="1" s="1"/>
  <c r="T249" i="1"/>
  <c r="U249" i="1" s="1"/>
  <c r="T250" i="1"/>
  <c r="U250" i="1" s="1"/>
  <c r="T251" i="1"/>
  <c r="U251" i="1" s="1"/>
  <c r="T252" i="1"/>
  <c r="U252" i="1" s="1"/>
  <c r="T253" i="1"/>
  <c r="U253" i="1" s="1"/>
  <c r="T254" i="1"/>
  <c r="U254" i="1" s="1"/>
  <c r="T255" i="1"/>
  <c r="U255" i="1" s="1"/>
  <c r="T256" i="1"/>
  <c r="U256" i="1" s="1"/>
  <c r="T257" i="1"/>
  <c r="U257" i="1" s="1"/>
  <c r="T258" i="1"/>
  <c r="U258" i="1" s="1"/>
  <c r="T259" i="1"/>
  <c r="U259" i="1" s="1"/>
  <c r="T260" i="1"/>
  <c r="U260" i="1" s="1"/>
  <c r="T261" i="1"/>
  <c r="U261" i="1" s="1"/>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Procurement Dataset.xlsx!Table1" type="102" refreshedVersion="5" minRefreshableVersion="5">
    <extLst>
      <ext xmlns:x15="http://schemas.microsoft.com/office/spreadsheetml/2010/11/main" uri="{DE250136-89BD-433C-8126-D09CA5730AF9}">
        <x15:connection id="Table1-2626b7b7-58b8-4697-b4a8-5165d6e66bba" autoDelete="1">
          <x15:rangePr sourceName="_xlcn.WorksheetConnection_ProcurementDataset.xlsxTable11"/>
        </x15:connection>
      </ext>
    </extLst>
  </connection>
</connections>
</file>

<file path=xl/sharedStrings.xml><?xml version="1.0" encoding="utf-8"?>
<sst xmlns="http://schemas.openxmlformats.org/spreadsheetml/2006/main" count="2779" uniqueCount="736">
  <si>
    <t xml:space="preserve"> Serial No </t>
  </si>
  <si>
    <t xml:space="preserve"> Hospital        </t>
  </si>
  <si>
    <t xml:space="preserve"> State   </t>
  </si>
  <si>
    <t xml:space="preserve"> Location    </t>
  </si>
  <si>
    <t xml:space="preserve"> Department     </t>
  </si>
  <si>
    <t xml:space="preserve"> Equipment     </t>
  </si>
  <si>
    <t xml:space="preserve"> Quantity </t>
  </si>
  <si>
    <t xml:space="preserve"> Unit Price (USD) </t>
  </si>
  <si>
    <t xml:space="preserve"> Supplier       </t>
  </si>
  <si>
    <t xml:space="preserve"> Supplier Contact </t>
  </si>
  <si>
    <t xml:space="preserve"> Supplier Phone </t>
  </si>
  <si>
    <t xml:space="preserve"> Supplier Email       </t>
  </si>
  <si>
    <t xml:space="preserve"> Supplier Country </t>
  </si>
  <si>
    <t xml:space="preserve"> Date Ordered </t>
  </si>
  <si>
    <t xml:space="preserve"> Date Delivered </t>
  </si>
  <si>
    <t xml:space="preserve"> Warranty Period (Months) </t>
  </si>
  <si>
    <t xml:space="preserve"> Maintenance Cost (USD/year) </t>
  </si>
  <si>
    <t xml:space="preserve"> Installation Cost (USD) </t>
  </si>
  <si>
    <t xml:space="preserve"> Equipment Condition </t>
  </si>
  <si>
    <t xml:space="preserve"> Lagos General  </t>
  </si>
  <si>
    <t xml:space="preserve"> Lagos   </t>
  </si>
  <si>
    <t xml:space="preserve"> Lagos City  </t>
  </si>
  <si>
    <t xml:space="preserve"> Cardiology     </t>
  </si>
  <si>
    <t xml:space="preserve"> ECG Machine   </t>
  </si>
  <si>
    <t xml:space="preserve"> MedTech Inc.   </t>
  </si>
  <si>
    <t xml:space="preserve"> John Doe         </t>
  </si>
  <si>
    <t xml:space="preserve"> john@medtech.com    </t>
  </si>
  <si>
    <t xml:space="preserve"> USA             </t>
  </si>
  <si>
    <t xml:space="preserve"> New                 </t>
  </si>
  <si>
    <t xml:space="preserve"> Abuja Hospital </t>
  </si>
  <si>
    <t xml:space="preserve"> Abuja   </t>
  </si>
  <si>
    <t xml:space="preserve"> Abuja City  </t>
  </si>
  <si>
    <t xml:space="preserve"> Radiology      </t>
  </si>
  <si>
    <t xml:space="preserve"> MRI Machine   </t>
  </si>
  <si>
    <t xml:space="preserve"> Imagix         </t>
  </si>
  <si>
    <t xml:space="preserve"> Jane Smith       </t>
  </si>
  <si>
    <t xml:space="preserve"> jane@imagix.co.uk   </t>
  </si>
  <si>
    <t xml:space="preserve"> UK              </t>
  </si>
  <si>
    <t xml:space="preserve"> Kano Medical   </t>
  </si>
  <si>
    <t xml:space="preserve"> Kano    </t>
  </si>
  <si>
    <t xml:space="preserve"> Kano City   </t>
  </si>
  <si>
    <t xml:space="preserve"> Surgery        </t>
  </si>
  <si>
    <t xml:space="preserve"> Surgical Tools</t>
  </si>
  <si>
    <t xml:space="preserve"> SurgiSupplies  </t>
  </si>
  <si>
    <t xml:space="preserve"> Ahmed Hassan     </t>
  </si>
  <si>
    <t xml:space="preserve"> ahmed@surgisup.com  </t>
  </si>
  <si>
    <t xml:space="preserve"> UAE             </t>
  </si>
  <si>
    <t xml:space="preserve"> Used - Good         </t>
  </si>
  <si>
    <t xml:space="preserve"> Port Harcourt  </t>
  </si>
  <si>
    <t xml:space="preserve"> Rivers  </t>
  </si>
  <si>
    <t xml:space="preserve"> Port Harcourt</t>
  </si>
  <si>
    <t xml:space="preserve"> Pediatrics     </t>
  </si>
  <si>
    <t xml:space="preserve"> Ventilator    </t>
  </si>
  <si>
    <t xml:space="preserve"> RespCare       </t>
  </si>
  <si>
    <t xml:space="preserve"> Emily Johnson    </t>
  </si>
  <si>
    <t xml:space="preserve"> emily@respcare.cn    </t>
  </si>
  <si>
    <t xml:space="preserve"> China           </t>
  </si>
  <si>
    <t xml:space="preserve"> Refurbished         </t>
  </si>
  <si>
    <t xml:space="preserve"> Ibadan Clinic  </t>
  </si>
  <si>
    <t xml:space="preserve"> Oyo     </t>
  </si>
  <si>
    <t xml:space="preserve"> Ibadan City </t>
  </si>
  <si>
    <t xml:space="preserve"> Obstetrics     </t>
  </si>
  <si>
    <t xml:space="preserve"> Ultrasound    </t>
  </si>
  <si>
    <t xml:space="preserve"> Sonoscan       </t>
  </si>
  <si>
    <t xml:space="preserve"> Michael Chang    </t>
  </si>
  <si>
    <t xml:space="preserve"> michael@sonoscan.jp </t>
  </si>
  <si>
    <t xml:space="preserve"> Japan           </t>
  </si>
  <si>
    <t xml:space="preserve"> Kaduna Clinic   </t>
  </si>
  <si>
    <t xml:space="preserve"> Kaduna  </t>
  </si>
  <si>
    <t xml:space="preserve"> Kaduna City  </t>
  </si>
  <si>
    <t xml:space="preserve"> Oncology       </t>
  </si>
  <si>
    <t xml:space="preserve"> Radiation Machine</t>
  </si>
  <si>
    <t xml:space="preserve"> RadSource     </t>
  </si>
  <si>
    <t xml:space="preserve"> Maria Garcia     </t>
  </si>
  <si>
    <t xml:space="preserve"> maria@radsource.de  </t>
  </si>
  <si>
    <t xml:space="preserve"> Germany         </t>
  </si>
  <si>
    <t xml:space="preserve"> Enugu General   </t>
  </si>
  <si>
    <t xml:space="preserve"> Enugu   </t>
  </si>
  <si>
    <t xml:space="preserve"> Enugu City   </t>
  </si>
  <si>
    <t xml:space="preserve"> Neurology      </t>
  </si>
  <si>
    <t xml:space="preserve"> EEG Machine     </t>
  </si>
  <si>
    <t xml:space="preserve"> NeuroTech     </t>
  </si>
  <si>
    <t xml:space="preserve"> Pedro Martinez  </t>
  </si>
  <si>
    <t xml:space="preserve"> pedro@neurotech.es  </t>
  </si>
  <si>
    <t xml:space="preserve"> Spain           </t>
  </si>
  <si>
    <t xml:space="preserve"> Benin City Hosp </t>
  </si>
  <si>
    <t xml:space="preserve"> Edo     </t>
  </si>
  <si>
    <t xml:space="preserve"> Benin City   </t>
  </si>
  <si>
    <t xml:space="preserve"> Orthopedics    </t>
  </si>
  <si>
    <t xml:space="preserve"> X-ray Machine   </t>
  </si>
  <si>
    <t xml:space="preserve"> MedImaging    </t>
  </si>
  <si>
    <t xml:space="preserve"> Anna Lee         </t>
  </si>
  <si>
    <t xml:space="preserve"> anna@medimaging.fr  </t>
  </si>
  <si>
    <t xml:space="preserve"> France          </t>
  </si>
  <si>
    <t xml:space="preserve"> Owerri Medical  </t>
  </si>
  <si>
    <t xml:space="preserve"> Imo     </t>
  </si>
  <si>
    <t xml:space="preserve"> Owerri City  </t>
  </si>
  <si>
    <t xml:space="preserve"> Urology        </t>
  </si>
  <si>
    <t xml:space="preserve"> Lithotripter    </t>
  </si>
  <si>
    <t xml:space="preserve"> UltraMed      </t>
  </si>
  <si>
    <t xml:space="preserve"> Fatima Khan      </t>
  </si>
  <si>
    <t xml:space="preserve"> fatima@ultramed.in  </t>
  </si>
  <si>
    <t xml:space="preserve"> India           </t>
  </si>
  <si>
    <t xml:space="preserve"> Jos Teaching    </t>
  </si>
  <si>
    <t xml:space="preserve"> Plateau </t>
  </si>
  <si>
    <t xml:space="preserve"> Jos City     </t>
  </si>
  <si>
    <t xml:space="preserve"> Hematology     </t>
  </si>
  <si>
    <t xml:space="preserve"> Hematology Analyzer</t>
  </si>
  <si>
    <t xml:space="preserve"> HemoTech      </t>
  </si>
  <si>
    <t xml:space="preserve"> David Wilson     </t>
  </si>
  <si>
    <t xml:space="preserve"> david@hemotech.us   </t>
  </si>
  <si>
    <t xml:space="preserve"> Warri General      </t>
  </si>
  <si>
    <t xml:space="preserve"> Delta      </t>
  </si>
  <si>
    <t xml:space="preserve"> Warri City      </t>
  </si>
  <si>
    <t xml:space="preserve"> Emergency Care   </t>
  </si>
  <si>
    <t xml:space="preserve"> Defibrillator       </t>
  </si>
  <si>
    <t xml:space="preserve"> LifeSaver        </t>
  </si>
  <si>
    <t xml:space="preserve"> Emma Watson      </t>
  </si>
  <si>
    <t xml:space="preserve"> emma@lifesaver.com      </t>
  </si>
  <si>
    <t xml:space="preserve"> Calabar Medical    </t>
  </si>
  <si>
    <t xml:space="preserve"> Cross River</t>
  </si>
  <si>
    <t xml:space="preserve"> Calabar City    </t>
  </si>
  <si>
    <t xml:space="preserve"> Gynecology       </t>
  </si>
  <si>
    <t xml:space="preserve"> Colposcope          </t>
  </si>
  <si>
    <t xml:space="preserve"> GynoTech         </t>
  </si>
  <si>
    <t xml:space="preserve"> Maria Sanchez    </t>
  </si>
  <si>
    <t xml:space="preserve"> maria@gynotech.mx       </t>
  </si>
  <si>
    <t xml:space="preserve"> Mexico          </t>
  </si>
  <si>
    <t xml:space="preserve"> Sokoto Teaching    </t>
  </si>
  <si>
    <t xml:space="preserve"> Sokoto     </t>
  </si>
  <si>
    <t xml:space="preserve"> Sokoto City     </t>
  </si>
  <si>
    <t xml:space="preserve"> Nephrology       </t>
  </si>
  <si>
    <t xml:space="preserve"> Dialysis Machine    </t>
  </si>
  <si>
    <t xml:space="preserve"> NephroCare       </t>
  </si>
  <si>
    <t xml:space="preserve"> Hassan Ali       </t>
  </si>
  <si>
    <t xml:space="preserve"> hassan@nephrocare.sa    </t>
  </si>
  <si>
    <t xml:space="preserve"> Saudi Arabia    </t>
  </si>
  <si>
    <t xml:space="preserve"> Uyo Specialist     </t>
  </si>
  <si>
    <t xml:space="preserve"> Akwa Ibom  </t>
  </si>
  <si>
    <t xml:space="preserve"> Uyo City        </t>
  </si>
  <si>
    <t xml:space="preserve"> Ophthalmology    </t>
  </si>
  <si>
    <t xml:space="preserve"> Fundus Camera       </t>
  </si>
  <si>
    <t xml:space="preserve"> EyeTech          </t>
  </si>
  <si>
    <t xml:space="preserve"> Sophia Chen      </t>
  </si>
  <si>
    <t xml:space="preserve"> sophia@eyetech.tw       </t>
  </si>
  <si>
    <t xml:space="preserve"> Taiwan          </t>
  </si>
  <si>
    <t xml:space="preserve"> Abeokuta General   </t>
  </si>
  <si>
    <t xml:space="preserve"> Ogun       </t>
  </si>
  <si>
    <t xml:space="preserve"> Abeokuta City   </t>
  </si>
  <si>
    <t xml:space="preserve"> Dermatology      </t>
  </si>
  <si>
    <t xml:space="preserve"> Laser Machine       </t>
  </si>
  <si>
    <t xml:space="preserve"> DermiCare        </t>
  </si>
  <si>
    <t xml:space="preserve"> Ahmed Saleh      </t>
  </si>
  <si>
    <t xml:space="preserve"> ahmed@dermicare.eg      </t>
  </si>
  <si>
    <t xml:space="preserve"> Egypt           </t>
  </si>
  <si>
    <t xml:space="preserve"> Osogbo Regional    </t>
  </si>
  <si>
    <t xml:space="preserve"> Osun       </t>
  </si>
  <si>
    <t xml:space="preserve"> Osogbo City     </t>
  </si>
  <si>
    <t xml:space="preserve"> Psychiatry       </t>
  </si>
  <si>
    <t xml:space="preserve"> EEG Machine         </t>
  </si>
  <si>
    <t xml:space="preserve"> NeuroTech        </t>
  </si>
  <si>
    <t xml:space="preserve"> Pedro Martinez   </t>
  </si>
  <si>
    <t xml:space="preserve"> pedro@neurotech.es      </t>
  </si>
  <si>
    <t xml:space="preserve"> Yola Medical       </t>
  </si>
  <si>
    <t xml:space="preserve"> Adamawa    </t>
  </si>
  <si>
    <t xml:space="preserve"> Yola City       </t>
  </si>
  <si>
    <t xml:space="preserve"> Gastroenterology</t>
  </si>
  <si>
    <t xml:space="preserve"> Endoscopy Machine  </t>
  </si>
  <si>
    <t xml:space="preserve"> GastroTech       </t>
  </si>
  <si>
    <t xml:space="preserve"> Hassan Mohamed   </t>
  </si>
  <si>
    <t xml:space="preserve"> hassan@gastrotech.sa    </t>
  </si>
  <si>
    <t xml:space="preserve"> Maiduguri General </t>
  </si>
  <si>
    <t xml:space="preserve"> Borno      </t>
  </si>
  <si>
    <t xml:space="preserve"> Maiduguri City </t>
  </si>
  <si>
    <t xml:space="preserve"> Oncology         </t>
  </si>
  <si>
    <t xml:space="preserve"> Chemotherapy Pump </t>
  </si>
  <si>
    <t xml:space="preserve"> OncoCare         </t>
  </si>
  <si>
    <t xml:space="preserve"> emily@oncocare.cn       </t>
  </si>
  <si>
    <t xml:space="preserve"> Makurdi Hospital  </t>
  </si>
  <si>
    <t xml:space="preserve"> Benue      </t>
  </si>
  <si>
    <t xml:space="preserve"> Makurdi City    </t>
  </si>
  <si>
    <t xml:space="preserve"> ENT              </t>
  </si>
  <si>
    <t xml:space="preserve"> Audiometer         </t>
  </si>
  <si>
    <t xml:space="preserve"> HearTech         </t>
  </si>
  <si>
    <t xml:space="preserve"> david@heartech.us       </t>
  </si>
  <si>
    <t xml:space="preserve"> Lokoja Medical    </t>
  </si>
  <si>
    <t xml:space="preserve"> Kogi       </t>
  </si>
  <si>
    <t xml:space="preserve"> Lokoja City     </t>
  </si>
  <si>
    <t xml:space="preserve"> Pulmonology      </t>
  </si>
  <si>
    <t xml:space="preserve"> Spirometer         </t>
  </si>
  <si>
    <t xml:space="preserve"> PulmoTech        </t>
  </si>
  <si>
    <t xml:space="preserve"> fatima@pulmotech.in     </t>
  </si>
  <si>
    <t xml:space="preserve"> Ile-Ife General   </t>
  </si>
  <si>
    <t xml:space="preserve"> Ile-Ife City    </t>
  </si>
  <si>
    <t xml:space="preserve"> Rheumatology     </t>
  </si>
  <si>
    <t xml:space="preserve"> Ultrasound         </t>
  </si>
  <si>
    <t xml:space="preserve"> Sonoscan         </t>
  </si>
  <si>
    <t xml:space="preserve"> michael@sonoscan.jp     </t>
  </si>
  <si>
    <t xml:space="preserve"> Ado-Ekiti Medical </t>
  </si>
  <si>
    <t xml:space="preserve"> Ekiti     </t>
  </si>
  <si>
    <t xml:space="preserve"> Ado-Ekiti City </t>
  </si>
  <si>
    <t xml:space="preserve"> Cardiology       </t>
  </si>
  <si>
    <t xml:space="preserve"> Holter Monitor    </t>
  </si>
  <si>
    <t xml:space="preserve"> CardioCare       </t>
  </si>
  <si>
    <t xml:space="preserve"> emma@cardiocare.com     </t>
  </si>
  <si>
    <t xml:space="preserve"> Used - Fair         </t>
  </si>
  <si>
    <t xml:space="preserve"> Awka General      </t>
  </si>
  <si>
    <t xml:space="preserve"> Anambra    </t>
  </si>
  <si>
    <t xml:space="preserve"> Awka City       </t>
  </si>
  <si>
    <t xml:space="preserve"> Hematology       </t>
  </si>
  <si>
    <t xml:space="preserve"> Coagulation Analyzer</t>
  </si>
  <si>
    <t xml:space="preserve"> HemoTech         </t>
  </si>
  <si>
    <t xml:space="preserve"> david@hemotech.us       </t>
  </si>
  <si>
    <t xml:space="preserve"> Epe Medical       </t>
  </si>
  <si>
    <t xml:space="preserve"> Lagos     </t>
  </si>
  <si>
    <t xml:space="preserve"> Epe City        </t>
  </si>
  <si>
    <t xml:space="preserve"> Pediatrics       </t>
  </si>
  <si>
    <t xml:space="preserve"> Infant Incubator  </t>
  </si>
  <si>
    <t xml:space="preserve"> NeoCare          </t>
  </si>
  <si>
    <t xml:space="preserve"> Jessica Brown    </t>
  </si>
  <si>
    <t xml:space="preserve"> jessica@neocare.au      </t>
  </si>
  <si>
    <t xml:space="preserve"> Australia       </t>
  </si>
  <si>
    <t xml:space="preserve"> Ikeja General     </t>
  </si>
  <si>
    <t xml:space="preserve"> Ikeja City      </t>
  </si>
  <si>
    <t xml:space="preserve"> Orthopedics      </t>
  </si>
  <si>
    <t xml:space="preserve"> Bone Densitometer</t>
  </si>
  <si>
    <t xml:space="preserve"> OrthoTech        </t>
  </si>
  <si>
    <t xml:space="preserve"> anna@orthotech.fr       </t>
  </si>
  <si>
    <t xml:space="preserve"> Ife Central       </t>
  </si>
  <si>
    <t xml:space="preserve"> Osun      </t>
  </si>
  <si>
    <t xml:space="preserve"> Ife City        </t>
  </si>
  <si>
    <t xml:space="preserve"> Surgery          </t>
  </si>
  <si>
    <t xml:space="preserve"> Surgical Microscope</t>
  </si>
  <si>
    <t xml:space="preserve"> SurgiEquip       </t>
  </si>
  <si>
    <t xml:space="preserve"> ahmed@surgiequip.com    </t>
  </si>
  <si>
    <t xml:space="preserve"> Umuahia Medical   </t>
  </si>
  <si>
    <t xml:space="preserve"> Abia      </t>
  </si>
  <si>
    <t xml:space="preserve"> Umuahia City    </t>
  </si>
  <si>
    <t xml:space="preserve"> Radiology        </t>
  </si>
  <si>
    <t xml:space="preserve"> CT Scanner        </t>
  </si>
  <si>
    <t xml:space="preserve"> RadiantTech      </t>
  </si>
  <si>
    <t xml:space="preserve"> maria@radiantech.de     </t>
  </si>
  <si>
    <t xml:space="preserve"> Gombe Specialist  </t>
  </si>
  <si>
    <t xml:space="preserve"> Gombe     </t>
  </si>
  <si>
    <t xml:space="preserve"> Gombe City      </t>
  </si>
  <si>
    <t xml:space="preserve"> Neurosurgery     </t>
  </si>
  <si>
    <t xml:space="preserve"> C-Arm Machine    </t>
  </si>
  <si>
    <t xml:space="preserve"> NeuroSurg        </t>
  </si>
  <si>
    <t xml:space="preserve"> pedro@neurosurg.es      </t>
  </si>
  <si>
    <t xml:space="preserve"> Damaturu Hospital </t>
  </si>
  <si>
    <t xml:space="preserve"> Yobe      </t>
  </si>
  <si>
    <t xml:space="preserve"> Damaturu City   </t>
  </si>
  <si>
    <t xml:space="preserve"> Obstetrics       </t>
  </si>
  <si>
    <t xml:space="preserve"> Fetal Monitor    </t>
  </si>
  <si>
    <t xml:space="preserve"> Bauchi General    </t>
  </si>
  <si>
    <t xml:space="preserve"> Bauchi    </t>
  </si>
  <si>
    <t xml:space="preserve"> Bauchi City     </t>
  </si>
  <si>
    <t xml:space="preserve"> Ventilator       </t>
  </si>
  <si>
    <t xml:space="preserve"> RespCare         </t>
  </si>
  <si>
    <t xml:space="preserve"> emily@respcare.cn       </t>
  </si>
  <si>
    <t xml:space="preserve"> Ijebu-Ode General</t>
  </si>
  <si>
    <t xml:space="preserve"> Ijebu-Ode City  </t>
  </si>
  <si>
    <t xml:space="preserve"> Dermatology     </t>
  </si>
  <si>
    <t xml:space="preserve"> Cryotherapy Machine</t>
  </si>
  <si>
    <t xml:space="preserve"> DermaTech         </t>
  </si>
  <si>
    <t xml:space="preserve"> Sarah Lee        </t>
  </si>
  <si>
    <t xml:space="preserve"> sarah@dermatech.kr     </t>
  </si>
  <si>
    <t xml:space="preserve"> South Korea     </t>
  </si>
  <si>
    <t xml:space="preserve"> Okene Medical     </t>
  </si>
  <si>
    <t xml:space="preserve"> Okene City      </t>
  </si>
  <si>
    <t xml:space="preserve"> Pulmonology     </t>
  </si>
  <si>
    <t xml:space="preserve"> Oxygen Concentrator</t>
  </si>
  <si>
    <t xml:space="preserve"> RespTech          </t>
  </si>
  <si>
    <t xml:space="preserve"> emily@resptech.cn      </t>
  </si>
  <si>
    <t xml:space="preserve"> Abakaliki Hospital</t>
  </si>
  <si>
    <t xml:space="preserve"> Ebonyi     </t>
  </si>
  <si>
    <t xml:space="preserve"> Abakaliki City  </t>
  </si>
  <si>
    <t xml:space="preserve"> Urology         </t>
  </si>
  <si>
    <t xml:space="preserve"> Cystoscope         </t>
  </si>
  <si>
    <t xml:space="preserve"> UroMed            </t>
  </si>
  <si>
    <t xml:space="preserve"> fatima@uromed.in       </t>
  </si>
  <si>
    <t xml:space="preserve"> Sapele General    </t>
  </si>
  <si>
    <t xml:space="preserve"> Sapele City     </t>
  </si>
  <si>
    <t xml:space="preserve"> Gynecology      </t>
  </si>
  <si>
    <t xml:space="preserve"> Hysteroscope       </t>
  </si>
  <si>
    <t xml:space="preserve"> GynoTech          </t>
  </si>
  <si>
    <t xml:space="preserve"> maria@gynotech.mx      </t>
  </si>
  <si>
    <t xml:space="preserve"> Iseyin Medical    </t>
  </si>
  <si>
    <t xml:space="preserve"> Oyo        </t>
  </si>
  <si>
    <t xml:space="preserve"> Iseyin City     </t>
  </si>
  <si>
    <t xml:space="preserve"> Hematology      </t>
  </si>
  <si>
    <t xml:space="preserve"> Hemoglobin Analyzer</t>
  </si>
  <si>
    <t xml:space="preserve"> HemoTech          </t>
  </si>
  <si>
    <t xml:space="preserve"> david@hemotech.us      </t>
  </si>
  <si>
    <t xml:space="preserve"> Otukpo Hospital   </t>
  </si>
  <si>
    <t xml:space="preserve"> Otukpo City     </t>
  </si>
  <si>
    <t xml:space="preserve"> ENT             </t>
  </si>
  <si>
    <t xml:space="preserve"> Rhinolaryngoscope  </t>
  </si>
  <si>
    <t xml:space="preserve"> ENT Solutions     </t>
  </si>
  <si>
    <t xml:space="preserve"> anna@ent-solutions.fr  </t>
  </si>
  <si>
    <t xml:space="preserve"> Ogaminana General</t>
  </si>
  <si>
    <t xml:space="preserve"> Ogaminana City  </t>
  </si>
  <si>
    <t xml:space="preserve"> Neurology       </t>
  </si>
  <si>
    <t xml:space="preserve"> EMG Machine        </t>
  </si>
  <si>
    <t xml:space="preserve"> NeuroTech         </t>
  </si>
  <si>
    <t xml:space="preserve"> pedro@neurotech.es     </t>
  </si>
  <si>
    <t xml:space="preserve"> Ode-Ekiti Medical </t>
  </si>
  <si>
    <t xml:space="preserve"> Ode-Ekiti City  </t>
  </si>
  <si>
    <t xml:space="preserve"> Cardiology      </t>
  </si>
  <si>
    <t xml:space="preserve"> Stress Test System</t>
  </si>
  <si>
    <t xml:space="preserve"> CardioCare        </t>
  </si>
  <si>
    <t xml:space="preserve"> emma@cardiocare.com    </t>
  </si>
  <si>
    <t xml:space="preserve"> Egbe Specialist   </t>
  </si>
  <si>
    <t xml:space="preserve"> Egbe City       </t>
  </si>
  <si>
    <t xml:space="preserve"> Oncology        </t>
  </si>
  <si>
    <t xml:space="preserve"> Linear Accelerator</t>
  </si>
  <si>
    <t xml:space="preserve"> OncoTech          </t>
  </si>
  <si>
    <t xml:space="preserve"> emily@oncotech.cn      </t>
  </si>
  <si>
    <t xml:space="preserve"> Ifo Medical       </t>
  </si>
  <si>
    <t xml:space="preserve"> Ifo City        </t>
  </si>
  <si>
    <t xml:space="preserve"> Pediatrics      </t>
  </si>
  <si>
    <t xml:space="preserve"> Phototherapy Unit </t>
  </si>
  <si>
    <t xml:space="preserve"> NeoCare           </t>
  </si>
  <si>
    <t xml:space="preserve"> jessica@neocare.au     </t>
  </si>
  <si>
    <t xml:space="preserve"> Idanre General    </t>
  </si>
  <si>
    <t xml:space="preserve"> Ondo       </t>
  </si>
  <si>
    <t xml:space="preserve"> Idanre City     </t>
  </si>
  <si>
    <t xml:space="preserve"> Orthopedics     </t>
  </si>
  <si>
    <t xml:space="preserve"> Traction Table    </t>
  </si>
  <si>
    <t xml:space="preserve"> OrthoTech         </t>
  </si>
  <si>
    <t xml:space="preserve"> anna@orthotech.fr      </t>
  </si>
  <si>
    <t xml:space="preserve"> Ikom Medical      </t>
  </si>
  <si>
    <t xml:space="preserve"> Ikom City       </t>
  </si>
  <si>
    <t xml:space="preserve"> Surgery         </t>
  </si>
  <si>
    <t xml:space="preserve"> Electrosurgical Unit</t>
  </si>
  <si>
    <t xml:space="preserve"> SurgiEquip        </t>
  </si>
  <si>
    <t xml:space="preserve"> ahmed@surgiequip.com   </t>
  </si>
  <si>
    <t xml:space="preserve"> Ijero-Ekiti Hosp  </t>
  </si>
  <si>
    <t xml:space="preserve"> Ekiti      </t>
  </si>
  <si>
    <t xml:space="preserve"> Ijero-Ekiti City</t>
  </si>
  <si>
    <t xml:space="preserve"> Radiology       </t>
  </si>
  <si>
    <t xml:space="preserve"> Mammography Machine</t>
  </si>
  <si>
    <t xml:space="preserve"> MammoTech         </t>
  </si>
  <si>
    <t xml:space="preserve"> emily@mammotech.cn     </t>
  </si>
  <si>
    <t xml:space="preserve"> Ikirun General    </t>
  </si>
  <si>
    <t xml:space="preserve"> Ikirun City     </t>
  </si>
  <si>
    <t xml:space="preserve"> Psychiatry      </t>
  </si>
  <si>
    <t xml:space="preserve"> Psychiatric Bed   </t>
  </si>
  <si>
    <t xml:space="preserve"> PsychiCare        </t>
  </si>
  <si>
    <t xml:space="preserve"> sarah@psychicare.kr    </t>
  </si>
  <si>
    <t xml:space="preserve"> Ilorin Central    </t>
  </si>
  <si>
    <t xml:space="preserve"> Kwara      </t>
  </si>
  <si>
    <t xml:space="preserve"> Ilorin City     </t>
  </si>
  <si>
    <t xml:space="preserve"> Colonoscope       </t>
  </si>
  <si>
    <t xml:space="preserve"> GastroTech        </t>
  </si>
  <si>
    <t xml:space="preserve"> hassan@gastrotech.sa   </t>
  </si>
  <si>
    <t xml:space="preserve"> Ikare Specialist </t>
  </si>
  <si>
    <t xml:space="preserve"> Ikare City      </t>
  </si>
  <si>
    <t xml:space="preserve"> Blood Analyzer   </t>
  </si>
  <si>
    <t xml:space="preserve"> Ilaro Medical     </t>
  </si>
  <si>
    <t xml:space="preserve"> Ilaro City      </t>
  </si>
  <si>
    <t xml:space="preserve"> Otoscope         </t>
  </si>
  <si>
    <t xml:space="preserve"> Iragbiji Hospital </t>
  </si>
  <si>
    <t xml:space="preserve"> Iragbiji City   </t>
  </si>
  <si>
    <t xml:space="preserve"> Neurosurgery    </t>
  </si>
  <si>
    <t xml:space="preserve"> Neuroendoscope   </t>
  </si>
  <si>
    <t xml:space="preserve"> NeuroSurg         </t>
  </si>
  <si>
    <t xml:space="preserve"> pedro@neurosurg.es     </t>
  </si>
  <si>
    <t xml:space="preserve"> Ijebu-Igbo General</t>
  </si>
  <si>
    <t xml:space="preserve"> Ijebu-Igbo City</t>
  </si>
  <si>
    <t xml:space="preserve"> Echocardiogram  </t>
  </si>
  <si>
    <t xml:space="preserve"> CardioTech        </t>
  </si>
  <si>
    <t xml:space="preserve"> emma@cardiotech.com    </t>
  </si>
  <si>
    <t xml:space="preserve"> Ilobu Medical     </t>
  </si>
  <si>
    <t xml:space="preserve"> Ilobu City      </t>
  </si>
  <si>
    <t xml:space="preserve"> CPAP Machine     </t>
  </si>
  <si>
    <t xml:space="preserve"> RespCare          </t>
  </si>
  <si>
    <t xml:space="preserve"> emily@respcare.cn      </t>
  </si>
  <si>
    <t xml:space="preserve"> Cross River </t>
  </si>
  <si>
    <t xml:space="preserve"> Anesthesia Machine  </t>
  </si>
  <si>
    <t xml:space="preserve"> AnesthTech        </t>
  </si>
  <si>
    <t xml:space="preserve"> ahmed@anesthtech.com   </t>
  </si>
  <si>
    <t xml:space="preserve"> Ebonyi      </t>
  </si>
  <si>
    <t xml:space="preserve"> Lithotripsy Machine </t>
  </si>
  <si>
    <t xml:space="preserve"> UltraMed          </t>
  </si>
  <si>
    <t xml:space="preserve"> fatima@ultramed.in     </t>
  </si>
  <si>
    <t xml:space="preserve"> Oyo         </t>
  </si>
  <si>
    <t xml:space="preserve"> Hematology Analyzer </t>
  </si>
  <si>
    <t xml:space="preserve"> Benue       </t>
  </si>
  <si>
    <t xml:space="preserve"> Audiometer          </t>
  </si>
  <si>
    <t xml:space="preserve"> HearTech          </t>
  </si>
  <si>
    <t xml:space="preserve"> sophia@heartech.tw     </t>
  </si>
  <si>
    <t xml:space="preserve"> Kogi        </t>
  </si>
  <si>
    <t xml:space="preserve"> ECG Machine         </t>
  </si>
  <si>
    <t xml:space="preserve"> Radiation Machine   </t>
  </si>
  <si>
    <t xml:space="preserve"> RadSource         </t>
  </si>
  <si>
    <t xml:space="preserve"> maria@radsource.de     </t>
  </si>
  <si>
    <t xml:space="preserve"> Ogun        </t>
  </si>
  <si>
    <t xml:space="preserve"> Infant Incubator    </t>
  </si>
  <si>
    <t xml:space="preserve"> Ondo        </t>
  </si>
  <si>
    <t xml:space="preserve"> X-ray Machine       </t>
  </si>
  <si>
    <t xml:space="preserve"> MedImaging        </t>
  </si>
  <si>
    <t xml:space="preserve"> anna@medimaging.fr     </t>
  </si>
  <si>
    <t xml:space="preserve"> Operating Table     </t>
  </si>
  <si>
    <t xml:space="preserve"> Ultrasound          </t>
  </si>
  <si>
    <t xml:space="preserve"> Sonoscan          </t>
  </si>
  <si>
    <t xml:space="preserve"> michael@sonoscan.jp    </t>
  </si>
  <si>
    <t xml:space="preserve"> Osun        </t>
  </si>
  <si>
    <t xml:space="preserve"> MRI Machine         </t>
  </si>
  <si>
    <t xml:space="preserve"> Imagix            </t>
  </si>
  <si>
    <t xml:space="preserve"> jane@imagix.co.uk      </t>
  </si>
  <si>
    <t xml:space="preserve"> Endoscope           </t>
  </si>
  <si>
    <t xml:space="preserve"> SurgiSupplies     </t>
  </si>
  <si>
    <t xml:space="preserve"> ahmed@surgisup.com     </t>
  </si>
  <si>
    <t xml:space="preserve"> Psychiatric Ward    </t>
  </si>
  <si>
    <t xml:space="preserve"> Kwara       </t>
  </si>
  <si>
    <t xml:space="preserve"> Gastroscope         </t>
  </si>
  <si>
    <t xml:space="preserve"> Otoscope            </t>
  </si>
  <si>
    <t xml:space="preserve"> Neuroendoscope      </t>
  </si>
  <si>
    <t xml:space="preserve"> Echocardiogram     </t>
  </si>
  <si>
    <t xml:space="preserve"> CPAP Machine        </t>
  </si>
  <si>
    <t xml:space="preserve"> Ipoti General     </t>
  </si>
  <si>
    <t xml:space="preserve"> Ekiti       </t>
  </si>
  <si>
    <t xml:space="preserve"> Ipoti City      </t>
  </si>
  <si>
    <t xml:space="preserve"> Blood Bank Refrigerator</t>
  </si>
  <si>
    <t xml:space="preserve"> BioTech           </t>
  </si>
  <si>
    <t xml:space="preserve"> maria@biotech.de       </t>
  </si>
  <si>
    <t xml:space="preserve"> Cautery Machine     </t>
  </si>
  <si>
    <t xml:space="preserve"> Phototherapy Unit  </t>
  </si>
  <si>
    <t xml:space="preserve"> Traction Table     </t>
  </si>
  <si>
    <t xml:space="preserve"> Chemotherapy Pump  </t>
  </si>
  <si>
    <t xml:space="preserve"> OncoCare          </t>
  </si>
  <si>
    <t xml:space="preserve"> emily@oncocare.cn      </t>
  </si>
  <si>
    <t xml:space="preserve"> Surgical Lights    </t>
  </si>
  <si>
    <t xml:space="preserve"> Colposcope         </t>
  </si>
  <si>
    <t xml:space="preserve"> TCD Machine        </t>
  </si>
  <si>
    <t xml:space="preserve"> Holter Monitor     </t>
  </si>
  <si>
    <t xml:space="preserve"> Microscope         </t>
  </si>
  <si>
    <t xml:space="preserve"> Sterilization Equipment</t>
  </si>
  <si>
    <t xml:space="preserve"> SteriTech         </t>
  </si>
  <si>
    <t xml:space="preserve"> hassan@steritech.sa    </t>
  </si>
  <si>
    <t xml:space="preserve"> Infant Warmers     </t>
  </si>
  <si>
    <t xml:space="preserve"> X-ray Machine      </t>
  </si>
  <si>
    <t xml:space="preserve"> Cast Cutter        </t>
  </si>
  <si>
    <t xml:space="preserve"> Ikot-Ekpene Hosp  </t>
  </si>
  <si>
    <t xml:space="preserve"> Akwa Ibom   </t>
  </si>
  <si>
    <t xml:space="preserve"> Ikot-Ekpene City</t>
  </si>
  <si>
    <t xml:space="preserve"> Surgical Suction Machine</t>
  </si>
  <si>
    <t xml:space="preserve"> Abuja Central Hospital  </t>
  </si>
  <si>
    <t xml:space="preserve"> Abuja       </t>
  </si>
  <si>
    <t xml:space="preserve"> Abuja City        </t>
  </si>
  <si>
    <t xml:space="preserve"> Infant Warmers        </t>
  </si>
  <si>
    <t xml:space="preserve"> jessica@neocare.au    </t>
  </si>
  <si>
    <t xml:space="preserve"> Enugu State Hospital    </t>
  </si>
  <si>
    <t xml:space="preserve"> Enugu       </t>
  </si>
  <si>
    <t xml:space="preserve"> Enugu City        </t>
  </si>
  <si>
    <t xml:space="preserve"> Phototherapy Unit    </t>
  </si>
  <si>
    <t xml:space="preserve"> Owerri General Hospital </t>
  </si>
  <si>
    <t xml:space="preserve"> Imo         </t>
  </si>
  <si>
    <t xml:space="preserve"> Owerri City       </t>
  </si>
  <si>
    <t xml:space="preserve"> Ultrasound Machine   </t>
  </si>
  <si>
    <t xml:space="preserve"> michael@sonoscan.jp   </t>
  </si>
  <si>
    <t xml:space="preserve"> Kaduna National Hospital</t>
  </si>
  <si>
    <t xml:space="preserve"> Kaduna      </t>
  </si>
  <si>
    <t xml:space="preserve"> Kaduna City       </t>
  </si>
  <si>
    <t xml:space="preserve"> Anesthesia Machine   </t>
  </si>
  <si>
    <t xml:space="preserve"> ahmed@anesthtech.com  </t>
  </si>
  <si>
    <t xml:space="preserve"> Ibadan Teaching Hospital</t>
  </si>
  <si>
    <t xml:space="preserve"> Ibadan City       </t>
  </si>
  <si>
    <t xml:space="preserve"> Surgical Lights      </t>
  </si>
  <si>
    <t xml:space="preserve"> ahmed@surgiequip.com  </t>
  </si>
  <si>
    <t xml:space="preserve"> Lokoja General Hospital </t>
  </si>
  <si>
    <t xml:space="preserve"> Lokoja City       </t>
  </si>
  <si>
    <t xml:space="preserve"> X-ray Machine        </t>
  </si>
  <si>
    <t xml:space="preserve"> anna@medimaging.fr    </t>
  </si>
  <si>
    <t xml:space="preserve"> Abeokuta Specialist Hosp</t>
  </si>
  <si>
    <t xml:space="preserve"> Abeokuta City     </t>
  </si>
  <si>
    <t xml:space="preserve"> Ventilator           </t>
  </si>
  <si>
    <t xml:space="preserve"> emily@resptech.cn     </t>
  </si>
  <si>
    <t xml:space="preserve"> Ilorin University Hospital </t>
  </si>
  <si>
    <t xml:space="preserve"> Kwara     </t>
  </si>
  <si>
    <t xml:space="preserve"> Ilorin City       </t>
  </si>
  <si>
    <t xml:space="preserve"> C-arm Fluoroscopy    </t>
  </si>
  <si>
    <t xml:space="preserve"> FluoroTech        </t>
  </si>
  <si>
    <t xml:space="preserve"> sophia@fluorotech.tw  </t>
  </si>
  <si>
    <t xml:space="preserve"> Minna Federal Medical Center </t>
  </si>
  <si>
    <t xml:space="preserve"> Niger    </t>
  </si>
  <si>
    <t xml:space="preserve"> Minna City        </t>
  </si>
  <si>
    <t xml:space="preserve"> Operating Table      </t>
  </si>
  <si>
    <t xml:space="preserve"> Oshogbo General Hospital </t>
  </si>
  <si>
    <t xml:space="preserve"> Oshogbo City      </t>
  </si>
  <si>
    <t xml:space="preserve"> Yenagoa Medical Center </t>
  </si>
  <si>
    <t xml:space="preserve"> Bayelsa     </t>
  </si>
  <si>
    <t xml:space="preserve"> Yenagoa City      </t>
  </si>
  <si>
    <t xml:space="preserve"> Phototherapy Unit   </t>
  </si>
  <si>
    <t xml:space="preserve"> Sokoto General Hospital </t>
  </si>
  <si>
    <t xml:space="preserve"> Sokoto      </t>
  </si>
  <si>
    <t xml:space="preserve"> Sokoto City       </t>
  </si>
  <si>
    <t xml:space="preserve"> Ultrasound Machine  </t>
  </si>
  <si>
    <t xml:space="preserve"> Port Harcourt General      </t>
  </si>
  <si>
    <t xml:space="preserve"> Rivers      </t>
  </si>
  <si>
    <t xml:space="preserve"> Port Harcourt     </t>
  </si>
  <si>
    <t xml:space="preserve"> Abuja Central Hospital     </t>
  </si>
  <si>
    <t xml:space="preserve"> Enugu State Hospital       </t>
  </si>
  <si>
    <t xml:space="preserve"> Owerri General Hospital    </t>
  </si>
  <si>
    <t xml:space="preserve"> Kaduna National Hospital   </t>
  </si>
  <si>
    <t xml:space="preserve"> Oshogbo General Hospital   </t>
  </si>
  <si>
    <t xml:space="preserve"> Yenagoa Medical Center     </t>
  </si>
  <si>
    <t xml:space="preserve"> Sokoto General Hospital   </t>
  </si>
  <si>
    <t xml:space="preserve"> Infant Warmers      </t>
  </si>
  <si>
    <t xml:space="preserve"> Uyo General Hospital      </t>
  </si>
  <si>
    <t xml:space="preserve"> Uyo City          </t>
  </si>
  <si>
    <t xml:space="preserve"> Port Harcourt General     </t>
  </si>
  <si>
    <t xml:space="preserve"> Abuja Central Hospital    </t>
  </si>
  <si>
    <t xml:space="preserve"> Enugu State Hospital      </t>
  </si>
  <si>
    <t xml:space="preserve"> Owerri General Hospital   </t>
  </si>
  <si>
    <t xml:space="preserve"> Kaduna National Hospital  </t>
  </si>
  <si>
    <t xml:space="preserve"> Oshogbo General Hospital  </t>
  </si>
  <si>
    <t xml:space="preserve"> CT Scanner           </t>
  </si>
  <si>
    <t xml:space="preserve"> ScanTech          </t>
  </si>
  <si>
    <t xml:space="preserve"> emily@scantech.de      </t>
  </si>
  <si>
    <t xml:space="preserve"> Yenagoa Medical Center    </t>
  </si>
  <si>
    <t xml:space="preserve"> Defibrillator        </t>
  </si>
  <si>
    <t xml:space="preserve"> CardiaTech        </t>
  </si>
  <si>
    <t xml:space="preserve"> Mark Smith       </t>
  </si>
  <si>
    <t xml:space="preserve"> mark@cardiatech.us     </t>
  </si>
  <si>
    <t xml:space="preserve"> Sokoto General Hospital  </t>
  </si>
  <si>
    <t xml:space="preserve"> Uyo General Hospital     </t>
  </si>
  <si>
    <t xml:space="preserve"> MRI Machine          </t>
  </si>
  <si>
    <t xml:space="preserve"> MRI Solutions     </t>
  </si>
  <si>
    <t xml:space="preserve"> john@mrisolutions.us   </t>
  </si>
  <si>
    <t xml:space="preserve"> Warri General Hospital     </t>
  </si>
  <si>
    <t xml:space="preserve"> Delta       </t>
  </si>
  <si>
    <t xml:space="preserve"> Warri City        </t>
  </si>
  <si>
    <t xml:space="preserve"> Aba Medical Center         </t>
  </si>
  <si>
    <t xml:space="preserve"> Abia        </t>
  </si>
  <si>
    <t xml:space="preserve"> Aba City          </t>
  </si>
  <si>
    <t xml:space="preserve"> Calabar General Hospital   </t>
  </si>
  <si>
    <t xml:space="preserve"> Calabar City      </t>
  </si>
  <si>
    <t xml:space="preserve"> Lokoja Medical Center     </t>
  </si>
  <si>
    <t xml:space="preserve"> Gombe General Hospital     </t>
  </si>
  <si>
    <t xml:space="preserve"> Gombe       </t>
  </si>
  <si>
    <t xml:space="preserve"> Gombe City        </t>
  </si>
  <si>
    <t xml:space="preserve"> Jalingo Federal Medical Center </t>
  </si>
  <si>
    <t xml:space="preserve"> Taraba  </t>
  </si>
  <si>
    <t xml:space="preserve"> Jalingo City      </t>
  </si>
  <si>
    <t xml:space="preserve"> Bauchi National Hospital   </t>
  </si>
  <si>
    <t xml:space="preserve"> Bauchi      </t>
  </si>
  <si>
    <t xml:space="preserve"> Bauchi City       </t>
  </si>
  <si>
    <t xml:space="preserve"> Umuahia General Hospital   </t>
  </si>
  <si>
    <t xml:space="preserve"> Umuahia City      </t>
  </si>
  <si>
    <t xml:space="preserve"> Akure Medical Center       </t>
  </si>
  <si>
    <t xml:space="preserve"> Akure City        </t>
  </si>
  <si>
    <t xml:space="preserve"> Ibadan National Hospital   </t>
  </si>
  <si>
    <t xml:space="preserve"> Incubator            </t>
  </si>
  <si>
    <t xml:space="preserve"> Maiduguri General Hospital </t>
  </si>
  <si>
    <t xml:space="preserve"> Borno       </t>
  </si>
  <si>
    <t xml:space="preserve"> Maiduguri City    </t>
  </si>
  <si>
    <t xml:space="preserve"> Kano National Hospital     </t>
  </si>
  <si>
    <t xml:space="preserve"> Kano        </t>
  </si>
  <si>
    <t xml:space="preserve"> Kano City         </t>
  </si>
  <si>
    <t xml:space="preserve"> Makurdi General Hospital   </t>
  </si>
  <si>
    <t xml:space="preserve"> Makurdi City      </t>
  </si>
  <si>
    <t xml:space="preserve"> Asaba Medical Center       </t>
  </si>
  <si>
    <t xml:space="preserve"> Asaba City        </t>
  </si>
  <si>
    <t xml:space="preserve"> Gusau General Hospital     </t>
  </si>
  <si>
    <t xml:space="preserve"> Zamfara     </t>
  </si>
  <si>
    <t xml:space="preserve"> Gusau City        </t>
  </si>
  <si>
    <t xml:space="preserve"> Yola Federal Medical Center </t>
  </si>
  <si>
    <t xml:space="preserve"> Adamawa   </t>
  </si>
  <si>
    <t xml:space="preserve"> Yola City         </t>
  </si>
  <si>
    <t xml:space="preserve"> Jos University Teaching Hospital </t>
  </si>
  <si>
    <t xml:space="preserve"> Jos City   </t>
  </si>
  <si>
    <t xml:space="preserve"> Ogbomoso General Hospital  </t>
  </si>
  <si>
    <t xml:space="preserve"> Ogbomoso City     </t>
  </si>
  <si>
    <t xml:space="preserve"> Ado-Ekiti Medical Center   </t>
  </si>
  <si>
    <t xml:space="preserve"> Ado-Ekiti City    </t>
  </si>
  <si>
    <t xml:space="preserve"> Abakaliki General Hospital </t>
  </si>
  <si>
    <t xml:space="preserve"> Abakaliki City    </t>
  </si>
  <si>
    <t xml:space="preserve"> Benin City General Hospital </t>
  </si>
  <si>
    <t xml:space="preserve"> Edo       </t>
  </si>
  <si>
    <t xml:space="preserve"> Benin City        </t>
  </si>
  <si>
    <t xml:space="preserve"> Lafia Federal Medical Center </t>
  </si>
  <si>
    <t xml:space="preserve"> Nasarawa </t>
  </si>
  <si>
    <t xml:space="preserve"> Lafia City        </t>
  </si>
  <si>
    <t xml:space="preserve"> Abeokuta General Hospital </t>
  </si>
  <si>
    <t xml:space="preserve"> Awka Medical Center        </t>
  </si>
  <si>
    <t xml:space="preserve"> Awka City         </t>
  </si>
  <si>
    <t xml:space="preserve"> Dutse General Hospital     </t>
  </si>
  <si>
    <t xml:space="preserve"> Jigawa     </t>
  </si>
  <si>
    <t xml:space="preserve"> Dutse City        </t>
  </si>
  <si>
    <t xml:space="preserve"> Umuahia General Hospital  </t>
  </si>
  <si>
    <t xml:space="preserve"> Abia       </t>
  </si>
  <si>
    <t xml:space="preserve"> Zamfara    </t>
  </si>
  <si>
    <t xml:space="preserve"> Bauchi     </t>
  </si>
  <si>
    <t xml:space="preserve"> Keffi Federal Medical Center </t>
  </si>
  <si>
    <t xml:space="preserve"> Keffi City      </t>
  </si>
  <si>
    <t xml:space="preserve"> Bayelsa    </t>
  </si>
  <si>
    <t>Delivery Days</t>
  </si>
  <si>
    <t>Total Procurement Cost</t>
  </si>
  <si>
    <t>Total Cost</t>
  </si>
  <si>
    <t>Deliver Status</t>
  </si>
  <si>
    <t>Warranty Category</t>
  </si>
  <si>
    <t>Columns</t>
  </si>
  <si>
    <t>Rows</t>
  </si>
  <si>
    <t>Procurement Cost</t>
  </si>
  <si>
    <t>Total Qty Purchased</t>
  </si>
  <si>
    <t>Total Hospitals</t>
  </si>
  <si>
    <t>Total Suppliers</t>
  </si>
  <si>
    <t>Total Maintenance Cost</t>
  </si>
  <si>
    <t>Total Installation Cost</t>
  </si>
  <si>
    <t>AVG Warranty Period</t>
  </si>
  <si>
    <t>NO of Equipment Procured</t>
  </si>
  <si>
    <t>Cells with Numeric</t>
  </si>
  <si>
    <t>Cells in the Dateset</t>
  </si>
  <si>
    <t>Data Preparation</t>
  </si>
  <si>
    <t>Data Exploration</t>
  </si>
  <si>
    <t>At this stage, the data is scrutinize to unveil patterns, trends and answer business questions</t>
  </si>
  <si>
    <t>In Excel, Pivot Tables helps to make this happen.</t>
  </si>
  <si>
    <t>Analysis</t>
  </si>
  <si>
    <t>Data Visualization</t>
  </si>
  <si>
    <t>This is creating pictorial representation of your data</t>
  </si>
  <si>
    <t>A. Create new columns for Total Procurement cost</t>
  </si>
  <si>
    <t>B. Total cost</t>
  </si>
  <si>
    <t>C. Deliery days</t>
  </si>
  <si>
    <t>D. Delivery status</t>
  </si>
  <si>
    <t>E. Warranty Category</t>
  </si>
  <si>
    <t>Sum of Total Procurement Cost</t>
  </si>
  <si>
    <t>Total Quantity Purchased</t>
  </si>
  <si>
    <t>Count of Supplier</t>
  </si>
  <si>
    <t>Sum of Maintenance Cost (USD/year)</t>
  </si>
  <si>
    <t>Total Maintenance Cost (USD/year)</t>
  </si>
  <si>
    <t>Sum of Installation Cost (USD)</t>
  </si>
  <si>
    <t>Total Installation Cost (USD)</t>
  </si>
  <si>
    <t>Average Warranty Period (Months)</t>
  </si>
  <si>
    <t>Count of Equipment</t>
  </si>
  <si>
    <t>Number of Equipment Procured</t>
  </si>
  <si>
    <t>Row Labels</t>
  </si>
  <si>
    <t xml:space="preserve"> Abeokuta General Hospital</t>
  </si>
  <si>
    <t xml:space="preserve"> Bauchi National Hospital</t>
  </si>
  <si>
    <t xml:space="preserve"> Benin City General Hospital</t>
  </si>
  <si>
    <t xml:space="preserve"> Dutse General Hospital</t>
  </si>
  <si>
    <t xml:space="preserve"> Egbe Specialist</t>
  </si>
  <si>
    <t xml:space="preserve"> Gusau General Hospital</t>
  </si>
  <si>
    <t xml:space="preserve"> Ifo Medical</t>
  </si>
  <si>
    <t xml:space="preserve"> Iragbiji Hospital</t>
  </si>
  <si>
    <t xml:space="preserve"> Keffi Federal Medical Center</t>
  </si>
  <si>
    <t xml:space="preserve"> Makurdi General Hospital</t>
  </si>
  <si>
    <t xml:space="preserve"> Minna Federal Medical Center</t>
  </si>
  <si>
    <t xml:space="preserve"> Port Harcourt General</t>
  </si>
  <si>
    <t xml:space="preserve"> Umuahia General Hospital</t>
  </si>
  <si>
    <t xml:space="preserve"> Yenagoa Medical Center</t>
  </si>
  <si>
    <t>Grand Total</t>
  </si>
  <si>
    <t>Hospitals With Highest Procurement On Equipments</t>
  </si>
  <si>
    <t>Distribution Of Equipment Across Departments</t>
  </si>
  <si>
    <t xml:space="preserve"> Emergency Care</t>
  </si>
  <si>
    <t xml:space="preserve"> Hematology</t>
  </si>
  <si>
    <t xml:space="preserve"> Pediatrics</t>
  </si>
  <si>
    <t xml:space="preserve"> Radiology</t>
  </si>
  <si>
    <t xml:space="preserve"> Surgery</t>
  </si>
  <si>
    <t>Column Labels</t>
  </si>
  <si>
    <t xml:space="preserve"> New</t>
  </si>
  <si>
    <t xml:space="preserve"> Refurbished</t>
  </si>
  <si>
    <t xml:space="preserve"> Used - Fair</t>
  </si>
  <si>
    <t xml:space="preserve"> Used - Good</t>
  </si>
  <si>
    <t>How Does Maintenance Cost Vary By Equipment Type</t>
  </si>
  <si>
    <t xml:space="preserve"> Anesthesia Machine</t>
  </si>
  <si>
    <t xml:space="preserve"> C-arm Fluoroscopy</t>
  </si>
  <si>
    <t xml:space="preserve"> CT Scanner</t>
  </si>
  <si>
    <t xml:space="preserve"> Defibrillator</t>
  </si>
  <si>
    <t xml:space="preserve"> Echocardiogram</t>
  </si>
  <si>
    <t xml:space="preserve"> Infant Incubator</t>
  </si>
  <si>
    <t xml:space="preserve"> Infant Warmers</t>
  </si>
  <si>
    <t xml:space="preserve"> MRI Machine</t>
  </si>
  <si>
    <t xml:space="preserve"> Neuroendoscope</t>
  </si>
  <si>
    <t xml:space="preserve"> Operating Table</t>
  </si>
  <si>
    <t xml:space="preserve"> Phototherapy Unit</t>
  </si>
  <si>
    <t xml:space="preserve"> Ultrasound Machine</t>
  </si>
  <si>
    <t xml:space="preserve"> Ventilator</t>
  </si>
  <si>
    <t xml:space="preserve"> X-ray Machine</t>
  </si>
  <si>
    <t>AVG Delivery Day of Equipment from DIFF Suppliers</t>
  </si>
  <si>
    <t xml:space="preserve"> CardiaTech</t>
  </si>
  <si>
    <t xml:space="preserve"> CardioCare</t>
  </si>
  <si>
    <t xml:space="preserve"> CardioTech</t>
  </si>
  <si>
    <t xml:space="preserve"> GastroTech</t>
  </si>
  <si>
    <t xml:space="preserve"> GynoTech</t>
  </si>
  <si>
    <t xml:space="preserve"> HearTech</t>
  </si>
  <si>
    <t xml:space="preserve"> Imagix</t>
  </si>
  <si>
    <t xml:space="preserve"> LifeSaver</t>
  </si>
  <si>
    <t xml:space="preserve"> MedTech Inc.</t>
  </si>
  <si>
    <t xml:space="preserve"> MRI Solutions</t>
  </si>
  <si>
    <t xml:space="preserve"> NeoCare</t>
  </si>
  <si>
    <t xml:space="preserve"> NephroCare</t>
  </si>
  <si>
    <t xml:space="preserve"> NeuroSurg</t>
  </si>
  <si>
    <t xml:space="preserve"> OncoCare</t>
  </si>
  <si>
    <t xml:space="preserve"> PulmoTech</t>
  </si>
  <si>
    <t xml:space="preserve"> RadSource</t>
  </si>
  <si>
    <t xml:space="preserve"> RespTech</t>
  </si>
  <si>
    <t xml:space="preserve"> SteriTech</t>
  </si>
  <si>
    <t xml:space="preserve"> UltraMed</t>
  </si>
  <si>
    <t xml:space="preserve"> UroMed</t>
  </si>
  <si>
    <t>Average of Delivery Days</t>
  </si>
  <si>
    <t>States With Highest Installation Cost</t>
  </si>
  <si>
    <t xml:space="preserve"> Abia</t>
  </si>
  <si>
    <t xml:space="preserve"> Abuja</t>
  </si>
  <si>
    <t xml:space="preserve"> Anambra</t>
  </si>
  <si>
    <t xml:space="preserve"> Bauchi</t>
  </si>
  <si>
    <t xml:space="preserve"> Bayelsa</t>
  </si>
  <si>
    <t xml:space="preserve"> Benue</t>
  </si>
  <si>
    <t xml:space="preserve"> Edo</t>
  </si>
  <si>
    <t xml:space="preserve"> Enugu</t>
  </si>
  <si>
    <t xml:space="preserve"> Imo</t>
  </si>
  <si>
    <t xml:space="preserve"> Kaduna</t>
  </si>
  <si>
    <t xml:space="preserve"> Kogi</t>
  </si>
  <si>
    <t xml:space="preserve"> Nasarawa</t>
  </si>
  <si>
    <t xml:space="preserve"> Niger</t>
  </si>
  <si>
    <t xml:space="preserve"> Ogun</t>
  </si>
  <si>
    <t xml:space="preserve"> Osun</t>
  </si>
  <si>
    <t xml:space="preserve"> Oyo</t>
  </si>
  <si>
    <t xml:space="preserve"> Rivers</t>
  </si>
  <si>
    <t xml:space="preserve"> Sokoto</t>
  </si>
  <si>
    <t xml:space="preserve"> Zamfara</t>
  </si>
  <si>
    <t xml:space="preserve"> Australia</t>
  </si>
  <si>
    <t xml:space="preserve"> China</t>
  </si>
  <si>
    <t xml:space="preserve"> France</t>
  </si>
  <si>
    <t xml:space="preserve"> Germany</t>
  </si>
  <si>
    <t xml:space="preserve"> Japan</t>
  </si>
  <si>
    <t xml:space="preserve"> Saudi Arabia</t>
  </si>
  <si>
    <t xml:space="preserve"> Spain</t>
  </si>
  <si>
    <t xml:space="preserve"> Taiwan</t>
  </si>
  <si>
    <t xml:space="preserve"> UAE</t>
  </si>
  <si>
    <t xml:space="preserve"> USA</t>
  </si>
  <si>
    <t>How Equipment Condition Vary with Installation Cost</t>
  </si>
  <si>
    <t>Average of Installation Cost (USD)</t>
  </si>
  <si>
    <t>AVG Delivery Days</t>
  </si>
  <si>
    <t>Total Equipment Purchased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</si>
</sst>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_(&quot;$&quot;* #,##0_);_(&quot;$&quot;* \(#,##0\);_(&quot;$&quot;*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scheme val="minor"/>
    </font>
  </fonts>
  <fills count="5">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8" tint="0.39997558519241921"/>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6">
    <xf numFmtId="0" fontId="0" fillId="0" borderId="0" xfId="0"/>
    <xf numFmtId="2" fontId="0" fillId="0" borderId="0" xfId="0" applyNumberFormat="1"/>
    <xf numFmtId="0" fontId="0" fillId="0" borderId="0" xfId="0" applyNumberFormat="1"/>
    <xf numFmtId="44" fontId="0" fillId="0" borderId="0" xfId="1" applyFont="1"/>
    <xf numFmtId="14" fontId="0" fillId="0" borderId="0" xfId="0" applyNumberFormat="1"/>
    <xf numFmtId="164" fontId="0" fillId="0" borderId="0" xfId="1" applyNumberFormat="1" applyFont="1"/>
    <xf numFmtId="0" fontId="0" fillId="0" borderId="0" xfId="0" applyBorder="1" applyAlignment="1"/>
    <xf numFmtId="0" fontId="0" fillId="2" borderId="0" xfId="0" applyFill="1" applyBorder="1" applyAlignment="1">
      <alignment horizontal="center"/>
    </xf>
    <xf numFmtId="0" fontId="3" fillId="2" borderId="0" xfId="0" applyFont="1" applyFill="1" applyBorder="1" applyAlignment="1">
      <alignment horizontal="center"/>
    </xf>
    <xf numFmtId="0" fontId="0" fillId="2" borderId="0" xfId="0" applyFill="1" applyAlignment="1">
      <alignment horizontal="center"/>
    </xf>
    <xf numFmtId="0" fontId="2" fillId="2" borderId="0" xfId="0" applyFont="1" applyFill="1" applyAlignment="1">
      <alignment horizontal="center"/>
    </xf>
    <xf numFmtId="0" fontId="0" fillId="3" borderId="0" xfId="0" applyFill="1"/>
    <xf numFmtId="164" fontId="0" fillId="0" borderId="0" xfId="0" applyNumberFormat="1"/>
    <xf numFmtId="0" fontId="0" fillId="0" borderId="0" xfId="0" pivotButton="1"/>
    <xf numFmtId="0" fontId="0" fillId="0" borderId="0" xfId="0" applyAlignment="1">
      <alignment horizontal="left"/>
    </xf>
    <xf numFmtId="0" fontId="0" fillId="4" borderId="0" xfId="0" applyFill="1"/>
  </cellXfs>
  <cellStyles count="2">
    <cellStyle name="Currency" xfId="1" builtinId="4"/>
    <cellStyle name="Normal" xfId="0" builtinId="0"/>
  </cellStyles>
  <dxfs count="30">
    <dxf>
      <font>
        <b/>
        <i val="0"/>
        <sz val="10"/>
        <color theme="1"/>
        <name val="Cambria"/>
        <scheme val="none"/>
      </font>
      <fill>
        <patternFill>
          <fgColor theme="4"/>
          <bgColor theme="4"/>
        </patternFill>
      </fill>
      <border>
        <left style="thin">
          <color auto="1"/>
        </left>
        <right style="thin">
          <color auto="1"/>
        </right>
        <top style="thin">
          <color auto="1"/>
        </top>
        <bottom style="thin">
          <color auto="1"/>
        </bottom>
      </border>
    </dxf>
    <dxf>
      <numFmt numFmtId="0" formatCode="General"/>
    </dxf>
    <dxf>
      <numFmt numFmtId="0" formatCode="General"/>
    </dxf>
    <dxf>
      <numFmt numFmtId="164" formatCode="_(&quot;$&quot;* #,##0_);_(&quot;$&quot;* \(#,##0\);_(&quot;$&quot;* &quot;-&quot;??_);_(@_)"/>
    </dxf>
    <dxf>
      <numFmt numFmtId="164" formatCode="_(&quot;$&quot;* #,##0_);_(&quot;$&quot;* \(#,##0\);_(&quot;$&quot;* &quot;-&quot;??_);_(@_)"/>
    </dxf>
    <dxf>
      <numFmt numFmtId="0" formatCode="General"/>
    </dxf>
    <dxf>
      <numFmt numFmtId="0" formatCode="General"/>
    </dxf>
    <dxf>
      <numFmt numFmtId="164" formatCode="_(&quot;$&quot;* #,##0_);_(&quot;$&quot;* \(#,##0\);_(&quot;$&quot;* &quot;-&quot;??_);_(@_)"/>
    </dxf>
    <dxf>
      <numFmt numFmtId="164" formatCode="_(&quot;$&quot;* #,##0_);_(&quot;$&quot;* \(#,##0\);_(&quot;$&quot;* &quot;-&quot;??_);_(@_)"/>
    </dxf>
    <dxf>
      <numFmt numFmtId="0" formatCode="General"/>
    </dxf>
    <dxf>
      <numFmt numFmtId="0" formatCode="General"/>
    </dxf>
    <dxf>
      <numFmt numFmtId="164" formatCode="_(&quot;$&quot;* #,##0_);_(&quot;$&quot;* \(#,##0\);_(&quot;$&quot;* &quot;-&quot;??_);_(@_)"/>
    </dxf>
    <dxf>
      <numFmt numFmtId="0" formatCode="General"/>
    </dxf>
    <dxf>
      <numFmt numFmtId="164" formatCode="_(&quot;$&quot;* #,##0_);_(&quot;$&quot;* \(#,##0\);_(&quot;$&quot;* &quot;-&quot;??_);_(@_)"/>
    </dxf>
    <dxf>
      <numFmt numFmtId="2" formatCode="0.00"/>
    </dxf>
    <dxf>
      <numFmt numFmtId="164" formatCode="_(&quot;$&quot;* #,##0_);_(&quot;$&quot;* \(#,##0\);_(&quot;$&quot;* &quot;-&quot;??_);_(@_)"/>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scheme val="minor"/>
      </font>
      <numFmt numFmtId="34" formatCode="_(&quot;$&quot;* #,##0.00_);_(&quot;$&quot;* \(#,##0.00\);_(&quot;$&quot;* &quot;-&quot;??_);_(@_)"/>
    </dxf>
    <dxf>
      <font>
        <b val="0"/>
        <i val="0"/>
        <strike val="0"/>
        <condense val="0"/>
        <extend val="0"/>
        <outline val="0"/>
        <shadow val="0"/>
        <u val="none"/>
        <vertAlign val="baseline"/>
        <sz val="11"/>
        <color theme="1"/>
        <name val="Calibri"/>
        <scheme val="minor"/>
      </font>
      <numFmt numFmtId="34" formatCode="_(&quot;$&quot;* #,##0.00_);_(&quot;$&quot;* \(#,##0.00\);_(&quot;$&quot;* &quot;-&quot;??_);_(@_)"/>
    </dxf>
    <dxf>
      <numFmt numFmtId="0" formatCode="General"/>
    </dxf>
    <dxf>
      <numFmt numFmtId="19" formatCode="m/d/yyyy"/>
    </dxf>
    <dxf>
      <numFmt numFmtId="19" formatCode="m/d/yyyy"/>
    </dxf>
    <dxf>
      <numFmt numFmtId="2" formatCode="0.00"/>
    </dxf>
    <dxf>
      <font>
        <b/>
        <i val="0"/>
        <sz val="10"/>
        <color theme="2" tint="-0.89996032593768116"/>
        <name val="Cambria"/>
        <scheme val="none"/>
      </font>
    </dxf>
    <dxf>
      <font>
        <b/>
        <i val="0"/>
        <strike val="0"/>
        <sz val="10"/>
        <color theme="2" tint="-0.89996032593768116"/>
        <name val="Cambria"/>
        <scheme val="none"/>
      </font>
    </dxf>
    <dxf>
      <font>
        <b/>
        <i val="0"/>
        <strike val="0"/>
        <sz val="10"/>
        <name val="Cambria"/>
        <scheme val="none"/>
      </font>
    </dxf>
    <dxf>
      <font>
        <b/>
        <i val="0"/>
        <strike/>
        <sz val="10"/>
        <name val="Cambria"/>
        <scheme val="none"/>
      </font>
    </dxf>
  </dxfs>
  <tableStyles count="7" defaultTableStyle="TableStyleMedium2" defaultPivotStyle="PivotStyleLight16">
    <tableStyle name="Slicer Style 1" pivot="0" table="0" count="1">
      <tableStyleElement type="wholeTable" dxfId="29"/>
    </tableStyle>
    <tableStyle name="Slicer Style 2" pivot="0" table="0" count="1">
      <tableStyleElement type="wholeTable" dxfId="28"/>
    </tableStyle>
    <tableStyle name="Slicer Style 3" pivot="0" table="0" count="1">
      <tableStyleElement type="wholeTable" dxfId="27"/>
    </tableStyle>
    <tableStyle name="Slicer Style 4" pivot="0" table="0" count="1"/>
    <tableStyle name="Slicer Style 5" pivot="0" table="0" count="1">
      <tableStyleElement type="wholeTable" dxfId="26"/>
    </tableStyle>
    <tableStyle name="Slicer Style 6" pivot="0" table="0" count="1"/>
    <tableStyle name="Slicer Style 7" pivot="0" table="0" count="1">
      <tableStyleElement type="wholeTable" dxfId="0"/>
    </tableStyle>
  </tableStyles>
  <extLst>
    <ext xmlns:x14="http://schemas.microsoft.com/office/spreadsheetml/2009/9/main" uri="{46F421CA-312F-682f-3DD2-61675219B42D}">
      <x14:dxfs count="2">
        <dxf>
          <font>
            <b/>
            <i val="0"/>
            <sz val="10"/>
            <color theme="2" tint="-0.89996032593768116"/>
            <name val="Cambria"/>
            <scheme val="none"/>
          </font>
        </dxf>
        <dxf>
          <font>
            <b/>
            <i val="0"/>
            <sz val="10"/>
            <color theme="2" tint="-0.89996032593768116"/>
            <name val="Cambria"/>
            <scheme val="none"/>
          </font>
        </dxf>
      </x14:dxfs>
    </ext>
    <ext xmlns:x14="http://schemas.microsoft.com/office/spreadsheetml/2009/9/main" uri="{EB79DEF2-80B8-43e5-95BD-54CBDDF9020C}">
      <x14:slicerStyles defaultSlicerStyle="Slicer Style 3">
        <x14:slicerStyle name="Slicer Style 1"/>
        <x14:slicerStyle name="Slicer Style 2"/>
        <x14:slicerStyle name="Slicer Style 3"/>
        <x14:slicerStyle name="Slicer Style 4">
          <x14:slicerStyleElements>
            <x14:slicerStyleElement type="selectedItemWithData" dxfId="1"/>
          </x14:slicerStyleElements>
        </x14:slicerStyle>
        <x14:slicerStyle name="Slicer Style 5"/>
        <x14:slicerStyle name="Slicer Style 6">
          <x14:slicerStyleElements>
            <x14:slicerStyleElement type="selectedItemWithData" dxfId="0"/>
          </x14:slicerStyleElements>
        </x14:slicerStyle>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pivotCacheDefinition" Target="pivotCache/pivotCacheDefinition16.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2.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Dashboard.xlsx]Pivot Table!PivotTable9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800" b="1" i="0" u="none" strike="noStrike" baseline="0">
                <a:solidFill>
                  <a:sysClr val="windowText" lastClr="000000"/>
                </a:solidFill>
                <a:effectLst/>
                <a:latin typeface="Cambria" panose="02040503050406030204" pitchFamily="18" charset="0"/>
                <a:ea typeface="Cambria" panose="02040503050406030204" pitchFamily="18" charset="0"/>
              </a:rPr>
              <a:t>Hospitals With Highest Procurement On Equipments</a:t>
            </a:r>
            <a:r>
              <a:rPr lang="en-GB" sz="800" b="1" i="0" u="none" strike="noStrike" baseline="0">
                <a:solidFill>
                  <a:sysClr val="windowText" lastClr="000000"/>
                </a:solidFill>
                <a:latin typeface="Cambria" panose="02040503050406030204" pitchFamily="18" charset="0"/>
                <a:ea typeface="Cambria" panose="02040503050406030204" pitchFamily="18" charset="0"/>
              </a:rPr>
              <a:t> </a:t>
            </a:r>
            <a:endParaRPr lang="en-US" sz="800" b="1">
              <a:solidFill>
                <a:sysClr val="windowText" lastClr="000000"/>
              </a:solidFill>
              <a:latin typeface="Cambria" panose="02040503050406030204" pitchFamily="18" charset="0"/>
              <a:ea typeface="Cambria" panose="020405030504060302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Table'!$B$73</c:f>
              <c:strCache>
                <c:ptCount val="1"/>
                <c:pt idx="0">
                  <c:v>Total</c:v>
                </c:pt>
              </c:strCache>
            </c:strRef>
          </c:tx>
          <c:spPr>
            <a:solidFill>
              <a:schemeClr val="accent1"/>
            </a:solidFill>
            <a:ln>
              <a:noFill/>
            </a:ln>
            <a:effectLst/>
          </c:spPr>
          <c:invertIfNegative val="0"/>
          <c:cat>
            <c:strRef>
              <c:f>'Pivot Table'!$A$74:$A$89</c:f>
              <c:strCache>
                <c:ptCount val="15"/>
                <c:pt idx="0">
                  <c:v> Minna Federal Medical Center</c:v>
                </c:pt>
                <c:pt idx="1">
                  <c:v> Yenagoa Medical Center</c:v>
                </c:pt>
                <c:pt idx="2">
                  <c:v> Dutse General Hospital</c:v>
                </c:pt>
                <c:pt idx="3">
                  <c:v> Benin City General Hospital</c:v>
                </c:pt>
                <c:pt idx="4">
                  <c:v> Gusau General Hospital</c:v>
                </c:pt>
                <c:pt idx="5">
                  <c:v> Abeokuta General Hospital</c:v>
                </c:pt>
                <c:pt idx="6">
                  <c:v> Keffi Federal Medical Center</c:v>
                </c:pt>
                <c:pt idx="7">
                  <c:v> Egbe Specialist</c:v>
                </c:pt>
                <c:pt idx="8">
                  <c:v> Umuahia General Hospital</c:v>
                </c:pt>
                <c:pt idx="9">
                  <c:v> Kaduna National Hospital</c:v>
                </c:pt>
                <c:pt idx="10">
                  <c:v> Bauchi National Hospital</c:v>
                </c:pt>
                <c:pt idx="11">
                  <c:v> Iragbiji Hospital</c:v>
                </c:pt>
                <c:pt idx="12">
                  <c:v> Ifo Medical</c:v>
                </c:pt>
                <c:pt idx="13">
                  <c:v> Makurdi General Hospital</c:v>
                </c:pt>
                <c:pt idx="14">
                  <c:v> Port Harcourt General</c:v>
                </c:pt>
              </c:strCache>
            </c:strRef>
          </c:cat>
          <c:val>
            <c:numRef>
              <c:f>'Pivot Table'!$B$74:$B$89</c:f>
              <c:numCache>
                <c:formatCode>_("$"* #,##0_);_("$"* \(#,##0\);_("$"* "-"??_);_(@_)</c:formatCode>
                <c:ptCount val="15"/>
                <c:pt idx="0">
                  <c:v>1815000</c:v>
                </c:pt>
                <c:pt idx="1">
                  <c:v>1434000</c:v>
                </c:pt>
                <c:pt idx="2">
                  <c:v>1335000</c:v>
                </c:pt>
                <c:pt idx="3">
                  <c:v>1274000</c:v>
                </c:pt>
                <c:pt idx="4">
                  <c:v>1230000</c:v>
                </c:pt>
                <c:pt idx="5">
                  <c:v>1140000</c:v>
                </c:pt>
                <c:pt idx="6">
                  <c:v>1110000</c:v>
                </c:pt>
                <c:pt idx="7">
                  <c:v>765000</c:v>
                </c:pt>
                <c:pt idx="8">
                  <c:v>765000</c:v>
                </c:pt>
                <c:pt idx="9">
                  <c:v>630000</c:v>
                </c:pt>
                <c:pt idx="10">
                  <c:v>615000</c:v>
                </c:pt>
                <c:pt idx="11">
                  <c:v>615000</c:v>
                </c:pt>
                <c:pt idx="12">
                  <c:v>526000</c:v>
                </c:pt>
                <c:pt idx="13">
                  <c:v>514000</c:v>
                </c:pt>
                <c:pt idx="14">
                  <c:v>463000</c:v>
                </c:pt>
              </c:numCache>
            </c:numRef>
          </c:val>
        </c:ser>
        <c:dLbls>
          <c:showLegendKey val="0"/>
          <c:showVal val="0"/>
          <c:showCatName val="0"/>
          <c:showSerName val="0"/>
          <c:showPercent val="0"/>
          <c:showBubbleSize val="0"/>
        </c:dLbls>
        <c:gapWidth val="182"/>
        <c:axId val="269327864"/>
        <c:axId val="269324312"/>
      </c:barChart>
      <c:catAx>
        <c:axId val="269327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324312"/>
        <c:crosses val="autoZero"/>
        <c:auto val="1"/>
        <c:lblAlgn val="ctr"/>
        <c:lblOffset val="100"/>
        <c:noMultiLvlLbl val="0"/>
      </c:catAx>
      <c:valAx>
        <c:axId val="269324312"/>
        <c:scaling>
          <c:orientation val="minMax"/>
        </c:scaling>
        <c:delete val="1"/>
        <c:axPos val="b"/>
        <c:numFmt formatCode="_(&quot;$&quot;* #,##0_);_(&quot;$&quot;* \(#,##0\);_(&quot;$&quot;* &quot;-&quot;??_);_(@_)" sourceLinked="1"/>
        <c:majorTickMark val="none"/>
        <c:minorTickMark val="none"/>
        <c:tickLblPos val="nextTo"/>
        <c:crossAx val="269327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Dashboard.xlsx]Pivot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Distribution Of Equipment Across Departments</a:t>
            </a:r>
            <a:r>
              <a:rPr lang="en-GB" sz="1400" b="0" i="0" u="none" strike="noStrike" baseline="0"/>
              <a:t> </a:t>
            </a:r>
            <a:endParaRPr lang="en-GB"/>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7.7617917245638421E-2"/>
          <c:y val="7.9129574678536096E-2"/>
          <c:w val="0.87673908638258458"/>
          <c:h val="0.55801887894576974"/>
        </c:manualLayout>
      </c:layout>
      <c:barChart>
        <c:barDir val="col"/>
        <c:grouping val="stacked"/>
        <c:varyColors val="0"/>
        <c:ser>
          <c:idx val="0"/>
          <c:order val="0"/>
          <c:tx>
            <c:strRef>
              <c:f>'Pivot Table'!$B$112:$B$113</c:f>
              <c:strCache>
                <c:ptCount val="1"/>
                <c:pt idx="0">
                  <c:v> New</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Table'!$A$114:$A$119</c:f>
              <c:strCache>
                <c:ptCount val="5"/>
                <c:pt idx="0">
                  <c:v> Emergency Care</c:v>
                </c:pt>
                <c:pt idx="1">
                  <c:v> Hematology</c:v>
                </c:pt>
                <c:pt idx="2">
                  <c:v> Pediatrics</c:v>
                </c:pt>
                <c:pt idx="3">
                  <c:v> Radiology</c:v>
                </c:pt>
                <c:pt idx="4">
                  <c:v> Surgery</c:v>
                </c:pt>
              </c:strCache>
            </c:strRef>
          </c:cat>
          <c:val>
            <c:numRef>
              <c:f>'Pivot Table'!$B$114:$B$119</c:f>
              <c:numCache>
                <c:formatCode>General</c:formatCode>
                <c:ptCount val="5"/>
                <c:pt idx="0">
                  <c:v>35</c:v>
                </c:pt>
                <c:pt idx="1">
                  <c:v>3</c:v>
                </c:pt>
                <c:pt idx="3">
                  <c:v>33</c:v>
                </c:pt>
                <c:pt idx="4">
                  <c:v>24</c:v>
                </c:pt>
              </c:numCache>
            </c:numRef>
          </c:val>
        </c:ser>
        <c:ser>
          <c:idx val="1"/>
          <c:order val="1"/>
          <c:tx>
            <c:strRef>
              <c:f>'Pivot Table'!$C$112:$C$113</c:f>
              <c:strCache>
                <c:ptCount val="1"/>
                <c:pt idx="0">
                  <c:v> Refurbished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Table'!$A$114:$A$119</c:f>
              <c:strCache>
                <c:ptCount val="5"/>
                <c:pt idx="0">
                  <c:v> Emergency Care</c:v>
                </c:pt>
                <c:pt idx="1">
                  <c:v> Hematology</c:v>
                </c:pt>
                <c:pt idx="2">
                  <c:v> Pediatrics</c:v>
                </c:pt>
                <c:pt idx="3">
                  <c:v> Radiology</c:v>
                </c:pt>
                <c:pt idx="4">
                  <c:v> Surgery</c:v>
                </c:pt>
              </c:strCache>
            </c:strRef>
          </c:cat>
          <c:val>
            <c:numRef>
              <c:f>'Pivot Table'!$C$114:$C$119</c:f>
              <c:numCache>
                <c:formatCode>General</c:formatCode>
                <c:ptCount val="5"/>
                <c:pt idx="0">
                  <c:v>1</c:v>
                </c:pt>
                <c:pt idx="1">
                  <c:v>6</c:v>
                </c:pt>
                <c:pt idx="2">
                  <c:v>2</c:v>
                </c:pt>
                <c:pt idx="3">
                  <c:v>17</c:v>
                </c:pt>
                <c:pt idx="4">
                  <c:v>3</c:v>
                </c:pt>
              </c:numCache>
            </c:numRef>
          </c:val>
        </c:ser>
        <c:ser>
          <c:idx val="2"/>
          <c:order val="2"/>
          <c:tx>
            <c:strRef>
              <c:f>'Pivot Table'!$D$112:$D$113</c:f>
              <c:strCache>
                <c:ptCount val="1"/>
                <c:pt idx="0">
                  <c:v> Used - Good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Table'!$A$114:$A$119</c:f>
              <c:strCache>
                <c:ptCount val="5"/>
                <c:pt idx="0">
                  <c:v> Emergency Care</c:v>
                </c:pt>
                <c:pt idx="1">
                  <c:v> Hematology</c:v>
                </c:pt>
                <c:pt idx="2">
                  <c:v> Pediatrics</c:v>
                </c:pt>
                <c:pt idx="3">
                  <c:v> Radiology</c:v>
                </c:pt>
                <c:pt idx="4">
                  <c:v> Surgery</c:v>
                </c:pt>
              </c:strCache>
            </c:strRef>
          </c:cat>
          <c:val>
            <c:numRef>
              <c:f>'Pivot Table'!$D$114:$D$119</c:f>
              <c:numCache>
                <c:formatCode>General</c:formatCode>
                <c:ptCount val="5"/>
                <c:pt idx="2">
                  <c:v>60</c:v>
                </c:pt>
                <c:pt idx="3">
                  <c:v>1</c:v>
                </c:pt>
                <c:pt idx="4">
                  <c:v>20</c:v>
                </c:pt>
              </c:numCache>
            </c:numRef>
          </c:val>
        </c:ser>
        <c:dLbls>
          <c:dLblPos val="ctr"/>
          <c:showLegendKey val="0"/>
          <c:showVal val="1"/>
          <c:showCatName val="0"/>
          <c:showSerName val="0"/>
          <c:showPercent val="0"/>
          <c:showBubbleSize val="0"/>
        </c:dLbls>
        <c:gapWidth val="150"/>
        <c:overlap val="100"/>
        <c:axId val="268892840"/>
        <c:axId val="268897328"/>
      </c:barChart>
      <c:catAx>
        <c:axId val="268892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897328"/>
        <c:crosses val="autoZero"/>
        <c:auto val="1"/>
        <c:lblAlgn val="ctr"/>
        <c:lblOffset val="100"/>
        <c:noMultiLvlLbl val="0"/>
      </c:catAx>
      <c:valAx>
        <c:axId val="268897328"/>
        <c:scaling>
          <c:orientation val="minMax"/>
        </c:scaling>
        <c:delete val="1"/>
        <c:axPos val="l"/>
        <c:numFmt formatCode="General" sourceLinked="1"/>
        <c:majorTickMark val="none"/>
        <c:minorTickMark val="none"/>
        <c:tickLblPos val="nextTo"/>
        <c:crossAx val="268892840"/>
        <c:crosses val="autoZero"/>
        <c:crossBetween val="between"/>
      </c:valAx>
      <c:spPr>
        <a:noFill/>
        <a:ln>
          <a:noFill/>
        </a:ln>
        <a:effectLst/>
      </c:spPr>
    </c:plotArea>
    <c:legend>
      <c:legendPos val="r"/>
      <c:layout>
        <c:manualLayout>
          <c:xMode val="edge"/>
          <c:yMode val="edge"/>
          <c:x val="1.2037787555967263E-2"/>
          <c:y val="6.0709751785477856E-2"/>
          <c:w val="0.18400877337885213"/>
          <c:h val="0.219909594634004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Dashboard.xlsx]Pivot Table!PivotTable11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800" b="1" i="0" u="none" strike="noStrike" baseline="0">
                <a:solidFill>
                  <a:sysClr val="windowText" lastClr="000000"/>
                </a:solidFill>
                <a:effectLst/>
                <a:latin typeface="Cambria" panose="02040503050406030204" pitchFamily="18" charset="0"/>
                <a:ea typeface="Cambria" panose="02040503050406030204" pitchFamily="18" charset="0"/>
              </a:rPr>
              <a:t>How Does Maintenance Cost Vary By Equipment Type</a:t>
            </a:r>
            <a:r>
              <a:rPr lang="en-GB" sz="800" b="1" i="0" u="none" strike="noStrike" baseline="0">
                <a:solidFill>
                  <a:sysClr val="windowText" lastClr="000000"/>
                </a:solidFill>
                <a:latin typeface="Cambria" panose="02040503050406030204" pitchFamily="18" charset="0"/>
                <a:ea typeface="Cambria" panose="02040503050406030204" pitchFamily="18" charset="0"/>
              </a:rPr>
              <a:t> </a:t>
            </a:r>
            <a:endParaRPr lang="en-US" sz="800" b="1">
              <a:solidFill>
                <a:sysClr val="windowText" lastClr="000000"/>
              </a:solidFill>
              <a:latin typeface="Cambria" panose="02040503050406030204" pitchFamily="18" charset="0"/>
              <a:ea typeface="Cambria" panose="020405030504060302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4026246719160105"/>
          <c:y val="0.1734536307961505"/>
          <c:w val="0.71529308836395455"/>
          <c:h val="0.81307852143482062"/>
        </c:manualLayout>
      </c:layout>
      <c:barChart>
        <c:barDir val="bar"/>
        <c:grouping val="stacked"/>
        <c:varyColors val="0"/>
        <c:ser>
          <c:idx val="0"/>
          <c:order val="0"/>
          <c:tx>
            <c:strRef>
              <c:f>'Pivot Table'!$B$158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Table'!$A$159:$A$174</c:f>
              <c:strCache>
                <c:ptCount val="15"/>
                <c:pt idx="0">
                  <c:v> MRI Machine</c:v>
                </c:pt>
                <c:pt idx="1">
                  <c:v> CT Scanner</c:v>
                </c:pt>
                <c:pt idx="2">
                  <c:v> Anesthesia Machine</c:v>
                </c:pt>
                <c:pt idx="3">
                  <c:v> Ventilator</c:v>
                </c:pt>
                <c:pt idx="4">
                  <c:v> Operating Table</c:v>
                </c:pt>
                <c:pt idx="5">
                  <c:v> X-ray Machine</c:v>
                </c:pt>
                <c:pt idx="6">
                  <c:v> Defibrillator</c:v>
                </c:pt>
                <c:pt idx="7">
                  <c:v> Infant Incubator</c:v>
                </c:pt>
                <c:pt idx="8">
                  <c:v> Phototherapy Unit</c:v>
                </c:pt>
                <c:pt idx="9">
                  <c:v> Ultrasound Machine</c:v>
                </c:pt>
                <c:pt idx="10">
                  <c:v> Infant Warmers</c:v>
                </c:pt>
                <c:pt idx="11">
                  <c:v> C-arm Fluoroscopy</c:v>
                </c:pt>
                <c:pt idx="12">
                  <c:v> Radiation Machine</c:v>
                </c:pt>
                <c:pt idx="13">
                  <c:v> Neuroendoscope</c:v>
                </c:pt>
                <c:pt idx="14">
                  <c:v> Echocardiogram</c:v>
                </c:pt>
              </c:strCache>
            </c:strRef>
          </c:cat>
          <c:val>
            <c:numRef>
              <c:f>'Pivot Table'!$B$159:$B$174</c:f>
              <c:numCache>
                <c:formatCode>_("$"* #,##0_);_("$"* \(#,##0\);_("$"* "-"??_);_(@_)</c:formatCode>
                <c:ptCount val="15"/>
                <c:pt idx="0">
                  <c:v>57000</c:v>
                </c:pt>
                <c:pt idx="1">
                  <c:v>41000</c:v>
                </c:pt>
                <c:pt idx="2">
                  <c:v>40000</c:v>
                </c:pt>
                <c:pt idx="3">
                  <c:v>33000</c:v>
                </c:pt>
                <c:pt idx="4">
                  <c:v>32600</c:v>
                </c:pt>
                <c:pt idx="5">
                  <c:v>29000</c:v>
                </c:pt>
                <c:pt idx="6">
                  <c:v>23800</c:v>
                </c:pt>
                <c:pt idx="7">
                  <c:v>20000</c:v>
                </c:pt>
                <c:pt idx="8">
                  <c:v>17800</c:v>
                </c:pt>
                <c:pt idx="9">
                  <c:v>16000</c:v>
                </c:pt>
                <c:pt idx="10">
                  <c:v>14600</c:v>
                </c:pt>
                <c:pt idx="11">
                  <c:v>12500</c:v>
                </c:pt>
                <c:pt idx="12">
                  <c:v>10000</c:v>
                </c:pt>
                <c:pt idx="13">
                  <c:v>6000</c:v>
                </c:pt>
                <c:pt idx="14">
                  <c:v>5000</c:v>
                </c:pt>
              </c:numCache>
            </c:numRef>
          </c:val>
        </c:ser>
        <c:dLbls>
          <c:dLblPos val="inEnd"/>
          <c:showLegendKey val="0"/>
          <c:showVal val="1"/>
          <c:showCatName val="0"/>
          <c:showSerName val="0"/>
          <c:showPercent val="0"/>
          <c:showBubbleSize val="0"/>
        </c:dLbls>
        <c:gapWidth val="150"/>
        <c:overlap val="100"/>
        <c:axId val="268916232"/>
        <c:axId val="268905512"/>
      </c:barChart>
      <c:catAx>
        <c:axId val="268916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905512"/>
        <c:crosses val="autoZero"/>
        <c:auto val="1"/>
        <c:lblAlgn val="ctr"/>
        <c:lblOffset val="100"/>
        <c:noMultiLvlLbl val="0"/>
      </c:catAx>
      <c:valAx>
        <c:axId val="268905512"/>
        <c:scaling>
          <c:orientation val="minMax"/>
        </c:scaling>
        <c:delete val="1"/>
        <c:axPos val="b"/>
        <c:numFmt formatCode="_(&quot;$&quot;* #,##0_);_(&quot;$&quot;* \(#,##0\);_(&quot;$&quot;* &quot;-&quot;??_);_(@_)" sourceLinked="1"/>
        <c:majorTickMark val="none"/>
        <c:minorTickMark val="none"/>
        <c:tickLblPos val="nextTo"/>
        <c:crossAx val="268916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Dashboard.xlsx]Pivot Table!PivotTable13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States With Highest Installation Cost</a:t>
            </a:r>
            <a:r>
              <a:rPr lang="en-GB" sz="1400" b="0" i="0" u="none" strike="noStrike" baseline="0"/>
              <a:t>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Table'!$B$239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Table'!$A$240:$A$260</c:f>
              <c:strCache>
                <c:ptCount val="20"/>
                <c:pt idx="0">
                  <c:v> Osun</c:v>
                </c:pt>
                <c:pt idx="1">
                  <c:v> Ogun</c:v>
                </c:pt>
                <c:pt idx="2">
                  <c:v> Kaduna</c:v>
                </c:pt>
                <c:pt idx="3">
                  <c:v> Kogi</c:v>
                </c:pt>
                <c:pt idx="4">
                  <c:v> Bayelsa</c:v>
                </c:pt>
                <c:pt idx="5">
                  <c:v> Nasarawa</c:v>
                </c:pt>
                <c:pt idx="6">
                  <c:v> Imo</c:v>
                </c:pt>
                <c:pt idx="7">
                  <c:v> Edo</c:v>
                </c:pt>
                <c:pt idx="8">
                  <c:v> Niger</c:v>
                </c:pt>
                <c:pt idx="9">
                  <c:v> Abuja</c:v>
                </c:pt>
                <c:pt idx="10">
                  <c:v> Benue</c:v>
                </c:pt>
                <c:pt idx="11">
                  <c:v> Enugu</c:v>
                </c:pt>
                <c:pt idx="12">
                  <c:v> Abia</c:v>
                </c:pt>
                <c:pt idx="13">
                  <c:v> Bauchi</c:v>
                </c:pt>
                <c:pt idx="14">
                  <c:v> Sokoto</c:v>
                </c:pt>
                <c:pt idx="15">
                  <c:v> Rivers</c:v>
                </c:pt>
                <c:pt idx="16">
                  <c:v> Zamfara</c:v>
                </c:pt>
                <c:pt idx="17">
                  <c:v> Cross River</c:v>
                </c:pt>
                <c:pt idx="18">
                  <c:v> Oyo</c:v>
                </c:pt>
                <c:pt idx="19">
                  <c:v> Anambra</c:v>
                </c:pt>
              </c:strCache>
            </c:strRef>
          </c:cat>
          <c:val>
            <c:numRef>
              <c:f>'Pivot Table'!$B$240:$B$260</c:f>
              <c:numCache>
                <c:formatCode>_("$"* #,##0_);_("$"* \(#,##0\);_("$"* "-"??_);_(@_)</c:formatCode>
                <c:ptCount val="20"/>
                <c:pt idx="0">
                  <c:v>26400</c:v>
                </c:pt>
                <c:pt idx="1">
                  <c:v>22800</c:v>
                </c:pt>
                <c:pt idx="2">
                  <c:v>16000</c:v>
                </c:pt>
                <c:pt idx="3">
                  <c:v>12800</c:v>
                </c:pt>
                <c:pt idx="4">
                  <c:v>12700</c:v>
                </c:pt>
                <c:pt idx="5">
                  <c:v>11800</c:v>
                </c:pt>
                <c:pt idx="6">
                  <c:v>11700</c:v>
                </c:pt>
                <c:pt idx="7">
                  <c:v>10500</c:v>
                </c:pt>
                <c:pt idx="8">
                  <c:v>9700</c:v>
                </c:pt>
                <c:pt idx="9">
                  <c:v>9400</c:v>
                </c:pt>
                <c:pt idx="10">
                  <c:v>9400</c:v>
                </c:pt>
                <c:pt idx="11">
                  <c:v>8800</c:v>
                </c:pt>
                <c:pt idx="12">
                  <c:v>8600</c:v>
                </c:pt>
                <c:pt idx="13">
                  <c:v>8500</c:v>
                </c:pt>
                <c:pt idx="14">
                  <c:v>8000</c:v>
                </c:pt>
                <c:pt idx="15">
                  <c:v>7800</c:v>
                </c:pt>
                <c:pt idx="16">
                  <c:v>7300</c:v>
                </c:pt>
                <c:pt idx="17">
                  <c:v>7200</c:v>
                </c:pt>
                <c:pt idx="18">
                  <c:v>7100</c:v>
                </c:pt>
                <c:pt idx="19">
                  <c:v>6700</c:v>
                </c:pt>
              </c:numCache>
            </c:numRef>
          </c:val>
        </c:ser>
        <c:dLbls>
          <c:dLblPos val="outEnd"/>
          <c:showLegendKey val="0"/>
          <c:showVal val="1"/>
          <c:showCatName val="0"/>
          <c:showSerName val="0"/>
          <c:showPercent val="0"/>
          <c:showBubbleSize val="0"/>
        </c:dLbls>
        <c:gapWidth val="182"/>
        <c:axId val="268958152"/>
        <c:axId val="268962208"/>
      </c:barChart>
      <c:catAx>
        <c:axId val="268958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962208"/>
        <c:crosses val="autoZero"/>
        <c:auto val="1"/>
        <c:lblAlgn val="ctr"/>
        <c:lblOffset val="100"/>
        <c:noMultiLvlLbl val="0"/>
      </c:catAx>
      <c:valAx>
        <c:axId val="268962208"/>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crossAx val="268958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Dashboard.xlsx]Pivot Table!PivotTable12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800" b="1" i="0" u="none" strike="noStrike" baseline="0">
                <a:solidFill>
                  <a:sysClr val="windowText" lastClr="000000"/>
                </a:solidFill>
                <a:effectLst/>
                <a:latin typeface="Cambria" panose="02040503050406030204" pitchFamily="18" charset="0"/>
                <a:ea typeface="Cambria" panose="02040503050406030204" pitchFamily="18" charset="0"/>
              </a:rPr>
              <a:t>AVG Delivery Day of Equipment from DIFF Suppliers</a:t>
            </a:r>
            <a:r>
              <a:rPr lang="en-GB" sz="800" b="1" i="0" u="none" strike="noStrike" baseline="0">
                <a:solidFill>
                  <a:sysClr val="windowText" lastClr="000000"/>
                </a:solidFill>
                <a:latin typeface="Cambria" panose="02040503050406030204" pitchFamily="18" charset="0"/>
                <a:ea typeface="Cambria" panose="02040503050406030204" pitchFamily="18" charset="0"/>
              </a:rPr>
              <a:t> </a:t>
            </a:r>
            <a:endParaRPr lang="en-US" sz="800" b="1">
              <a:solidFill>
                <a:sysClr val="windowText" lastClr="000000"/>
              </a:solidFill>
              <a:latin typeface="Cambria" panose="02040503050406030204" pitchFamily="18" charset="0"/>
              <a:ea typeface="Cambria" panose="020405030504060302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5799398181287947"/>
          <c:y val="0.2391179839633448"/>
          <c:w val="0.67466595084705316"/>
          <c:h val="0.71506300114547539"/>
        </c:manualLayout>
      </c:layout>
      <c:barChart>
        <c:barDir val="bar"/>
        <c:grouping val="stacked"/>
        <c:varyColors val="0"/>
        <c:ser>
          <c:idx val="0"/>
          <c:order val="0"/>
          <c:tx>
            <c:strRef>
              <c:f>'Pivot Table'!$B$197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Table'!$A$198:$A$218</c:f>
              <c:strCache>
                <c:ptCount val="20"/>
                <c:pt idx="0">
                  <c:v> MRI Solutions</c:v>
                </c:pt>
                <c:pt idx="1">
                  <c:v> UroMed</c:v>
                </c:pt>
                <c:pt idx="2">
                  <c:v> CardioTech</c:v>
                </c:pt>
                <c:pt idx="3">
                  <c:v> Imagix</c:v>
                </c:pt>
                <c:pt idx="4">
                  <c:v> GynoTech</c:v>
                </c:pt>
                <c:pt idx="5">
                  <c:v> NeoCare</c:v>
                </c:pt>
                <c:pt idx="6">
                  <c:v> PulmoTech</c:v>
                </c:pt>
                <c:pt idx="7">
                  <c:v> GastroTech</c:v>
                </c:pt>
                <c:pt idx="8">
                  <c:v> SteriTech</c:v>
                </c:pt>
                <c:pt idx="9">
                  <c:v> LifeSaver</c:v>
                </c:pt>
                <c:pt idx="10">
                  <c:v> OncoCare</c:v>
                </c:pt>
                <c:pt idx="11">
                  <c:v> MedTech Inc.</c:v>
                </c:pt>
                <c:pt idx="12">
                  <c:v> RespTech</c:v>
                </c:pt>
                <c:pt idx="13">
                  <c:v> CardioCare</c:v>
                </c:pt>
                <c:pt idx="14">
                  <c:v> UltraMed</c:v>
                </c:pt>
                <c:pt idx="15">
                  <c:v> NephroCare</c:v>
                </c:pt>
                <c:pt idx="16">
                  <c:v> NeuroSurg</c:v>
                </c:pt>
                <c:pt idx="17">
                  <c:v> CardiaTech</c:v>
                </c:pt>
                <c:pt idx="18">
                  <c:v> HearTech</c:v>
                </c:pt>
                <c:pt idx="19">
                  <c:v> RadSource</c:v>
                </c:pt>
              </c:strCache>
            </c:strRef>
          </c:cat>
          <c:val>
            <c:numRef>
              <c:f>'Pivot Table'!$B$198:$B$218</c:f>
              <c:numCache>
                <c:formatCode>0.00</c:formatCode>
                <c:ptCount val="20"/>
                <c:pt idx="0">
                  <c:v>29</c:v>
                </c:pt>
                <c:pt idx="1">
                  <c:v>27</c:v>
                </c:pt>
                <c:pt idx="2">
                  <c:v>27</c:v>
                </c:pt>
                <c:pt idx="3">
                  <c:v>26.333333333333332</c:v>
                </c:pt>
                <c:pt idx="4">
                  <c:v>26.333333333333332</c:v>
                </c:pt>
                <c:pt idx="5">
                  <c:v>26.048387096774192</c:v>
                </c:pt>
                <c:pt idx="6">
                  <c:v>26</c:v>
                </c:pt>
                <c:pt idx="7">
                  <c:v>26</c:v>
                </c:pt>
                <c:pt idx="8">
                  <c:v>26</c:v>
                </c:pt>
                <c:pt idx="9">
                  <c:v>26</c:v>
                </c:pt>
                <c:pt idx="10">
                  <c:v>26</c:v>
                </c:pt>
                <c:pt idx="11">
                  <c:v>26</c:v>
                </c:pt>
                <c:pt idx="12">
                  <c:v>26</c:v>
                </c:pt>
                <c:pt idx="13">
                  <c:v>26</c:v>
                </c:pt>
                <c:pt idx="14">
                  <c:v>26</c:v>
                </c:pt>
                <c:pt idx="15">
                  <c:v>26</c:v>
                </c:pt>
                <c:pt idx="16">
                  <c:v>26</c:v>
                </c:pt>
                <c:pt idx="17">
                  <c:v>25.631578947368421</c:v>
                </c:pt>
                <c:pt idx="18">
                  <c:v>25.5</c:v>
                </c:pt>
                <c:pt idx="19">
                  <c:v>25.5</c:v>
                </c:pt>
              </c:numCache>
            </c:numRef>
          </c:val>
        </c:ser>
        <c:dLbls>
          <c:dLblPos val="ctr"/>
          <c:showLegendKey val="0"/>
          <c:showVal val="1"/>
          <c:showCatName val="0"/>
          <c:showSerName val="0"/>
          <c:showPercent val="0"/>
          <c:showBubbleSize val="0"/>
        </c:dLbls>
        <c:gapWidth val="150"/>
        <c:overlap val="100"/>
        <c:axId val="219622520"/>
        <c:axId val="219622912"/>
      </c:barChart>
      <c:catAx>
        <c:axId val="219622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22912"/>
        <c:crosses val="autoZero"/>
        <c:auto val="1"/>
        <c:lblAlgn val="ctr"/>
        <c:lblOffset val="100"/>
        <c:noMultiLvlLbl val="0"/>
      </c:catAx>
      <c:valAx>
        <c:axId val="219622912"/>
        <c:scaling>
          <c:orientation val="minMax"/>
        </c:scaling>
        <c:delete val="1"/>
        <c:axPos val="b"/>
        <c:numFmt formatCode="0.00" sourceLinked="1"/>
        <c:majorTickMark val="none"/>
        <c:minorTickMark val="none"/>
        <c:tickLblPos val="nextTo"/>
        <c:crossAx val="219622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Dashboard.xlsx]Pivot Table!PivotTable15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Table'!$B$331</c:f>
              <c:strCache>
                <c:ptCount val="1"/>
                <c:pt idx="0">
                  <c:v>Total</c:v>
                </c:pt>
              </c:strCache>
            </c:strRef>
          </c:tx>
          <c:spPr>
            <a:solidFill>
              <a:schemeClr val="accent1"/>
            </a:solidFill>
            <a:ln>
              <a:noFill/>
            </a:ln>
            <a:effectLst/>
          </c:spPr>
          <c:invertIfNegative val="0"/>
          <c:cat>
            <c:strRef>
              <c:f>'Pivot Table'!$A$332:$A$336</c:f>
              <c:strCache>
                <c:ptCount val="4"/>
                <c:pt idx="0">
                  <c:v> New</c:v>
                </c:pt>
                <c:pt idx="1">
                  <c:v> Refurbished</c:v>
                </c:pt>
                <c:pt idx="2">
                  <c:v> Used - Good</c:v>
                </c:pt>
                <c:pt idx="3">
                  <c:v> Used - Fair</c:v>
                </c:pt>
              </c:strCache>
            </c:strRef>
          </c:cat>
          <c:val>
            <c:numRef>
              <c:f>'Pivot Table'!$B$332:$B$336</c:f>
              <c:numCache>
                <c:formatCode>_("$"* #,##0_);_("$"* \(#,##0\);_("$"* "-"??_);_(@_)</c:formatCode>
                <c:ptCount val="4"/>
                <c:pt idx="0">
                  <c:v>1460.483870967742</c:v>
                </c:pt>
                <c:pt idx="1">
                  <c:v>910</c:v>
                </c:pt>
                <c:pt idx="2">
                  <c:v>618.18181818181813</c:v>
                </c:pt>
                <c:pt idx="3">
                  <c:v>475</c:v>
                </c:pt>
              </c:numCache>
            </c:numRef>
          </c:val>
        </c:ser>
        <c:dLbls>
          <c:showLegendKey val="0"/>
          <c:showVal val="0"/>
          <c:showCatName val="0"/>
          <c:showSerName val="0"/>
          <c:showPercent val="0"/>
          <c:showBubbleSize val="0"/>
        </c:dLbls>
        <c:gapWidth val="219"/>
        <c:overlap val="-27"/>
        <c:axId val="219624480"/>
        <c:axId val="219625264"/>
      </c:barChart>
      <c:catAx>
        <c:axId val="21962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25264"/>
        <c:crosses val="autoZero"/>
        <c:auto val="1"/>
        <c:lblAlgn val="ctr"/>
        <c:lblOffset val="100"/>
        <c:noMultiLvlLbl val="0"/>
      </c:catAx>
      <c:valAx>
        <c:axId val="21962526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62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Dashboard.xlsx]Pivot Table!PivotTable14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800" b="1" i="0" baseline="0">
                <a:solidFill>
                  <a:schemeClr val="tx1"/>
                </a:solidFill>
                <a:effectLst/>
                <a:latin typeface="Cambria" panose="02040503050406030204" pitchFamily="18" charset="0"/>
                <a:ea typeface="Cambria" panose="02040503050406030204" pitchFamily="18" charset="0"/>
              </a:rPr>
              <a:t>Distribution Of Suppliers By Country </a:t>
            </a:r>
            <a:endParaRPr lang="en-GB" sz="800">
              <a:solidFill>
                <a:schemeClr val="tx1"/>
              </a:solidFill>
              <a:effectLst/>
              <a:latin typeface="Cambria" panose="02040503050406030204" pitchFamily="18" charset="0"/>
              <a:ea typeface="Cambria" panose="020405030504060302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rtl="0">
                <a:defRPr lang="en-GB" sz="800" b="1" i="0" u="none" strike="noStrike" kern="1200" spc="0" baseline="0">
                  <a:solidFill>
                    <a:schemeClr val="tx1"/>
                  </a:solidFill>
                  <a:effectLst/>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Table'!$B$290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GB" sz="800" b="1" i="0" u="none" strike="noStrike" kern="1200" spc="0" baseline="0">
                    <a:solidFill>
                      <a:schemeClr val="tx1"/>
                    </a:solidFill>
                    <a:effectLst/>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Table'!$A$291:$A$301</c:f>
              <c:strCache>
                <c:ptCount val="10"/>
                <c:pt idx="0">
                  <c:v> Australia</c:v>
                </c:pt>
                <c:pt idx="1">
                  <c:v> USA</c:v>
                </c:pt>
                <c:pt idx="2">
                  <c:v> UAE</c:v>
                </c:pt>
                <c:pt idx="3">
                  <c:v> France</c:v>
                </c:pt>
                <c:pt idx="4">
                  <c:v> China</c:v>
                </c:pt>
                <c:pt idx="5">
                  <c:v> Germany</c:v>
                </c:pt>
                <c:pt idx="6">
                  <c:v> Japan</c:v>
                </c:pt>
                <c:pt idx="7">
                  <c:v> Spain</c:v>
                </c:pt>
                <c:pt idx="8">
                  <c:v> Taiwan</c:v>
                </c:pt>
                <c:pt idx="9">
                  <c:v> Saudi Arabia</c:v>
                </c:pt>
              </c:strCache>
            </c:strRef>
          </c:cat>
          <c:val>
            <c:numRef>
              <c:f>'Pivot Table'!$B$291:$B$301</c:f>
              <c:numCache>
                <c:formatCode>General</c:formatCode>
                <c:ptCount val="10"/>
                <c:pt idx="0">
                  <c:v>62</c:v>
                </c:pt>
                <c:pt idx="1">
                  <c:v>44</c:v>
                </c:pt>
                <c:pt idx="2">
                  <c:v>42</c:v>
                </c:pt>
                <c:pt idx="3">
                  <c:v>27</c:v>
                </c:pt>
                <c:pt idx="4">
                  <c:v>24</c:v>
                </c:pt>
                <c:pt idx="5">
                  <c:v>16</c:v>
                </c:pt>
                <c:pt idx="6">
                  <c:v>11</c:v>
                </c:pt>
                <c:pt idx="7">
                  <c:v>8</c:v>
                </c:pt>
                <c:pt idx="8">
                  <c:v>7</c:v>
                </c:pt>
                <c:pt idx="9">
                  <c:v>5</c:v>
                </c:pt>
              </c:numCache>
            </c:numRef>
          </c:val>
        </c:ser>
        <c:dLbls>
          <c:dLblPos val="outEnd"/>
          <c:showLegendKey val="0"/>
          <c:showVal val="1"/>
          <c:showCatName val="0"/>
          <c:showSerName val="0"/>
          <c:showPercent val="0"/>
          <c:showBubbleSize val="0"/>
        </c:dLbls>
        <c:gapWidth val="219"/>
        <c:overlap val="-27"/>
        <c:axId val="343986944"/>
        <c:axId val="343987728"/>
      </c:barChart>
      <c:catAx>
        <c:axId val="34398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GB" sz="800" b="1" i="0" u="none" strike="noStrike" kern="1200" spc="0" baseline="0">
                <a:solidFill>
                  <a:schemeClr val="tx1"/>
                </a:solidFill>
                <a:effectLst/>
                <a:latin typeface="Cambria" panose="02040503050406030204" pitchFamily="18" charset="0"/>
                <a:ea typeface="Cambria" panose="02040503050406030204" pitchFamily="18" charset="0"/>
                <a:cs typeface="+mn-cs"/>
              </a:defRPr>
            </a:pPr>
            <a:endParaRPr lang="en-US"/>
          </a:p>
        </c:txPr>
        <c:crossAx val="343987728"/>
        <c:crosses val="autoZero"/>
        <c:auto val="1"/>
        <c:lblAlgn val="ctr"/>
        <c:lblOffset val="100"/>
        <c:noMultiLvlLbl val="0"/>
      </c:catAx>
      <c:valAx>
        <c:axId val="343987728"/>
        <c:scaling>
          <c:orientation val="minMax"/>
        </c:scaling>
        <c:delete val="1"/>
        <c:axPos val="l"/>
        <c:numFmt formatCode="General" sourceLinked="1"/>
        <c:majorTickMark val="none"/>
        <c:minorTickMark val="none"/>
        <c:tickLblPos val="nextTo"/>
        <c:crossAx val="343986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Dashboard.xlsx]Pivot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800" b="1" i="0" u="none" strike="noStrike" baseline="0">
                <a:solidFill>
                  <a:sysClr val="windowText" lastClr="000000"/>
                </a:solidFill>
                <a:effectLst/>
                <a:latin typeface="Cambria" panose="02040503050406030204" pitchFamily="18" charset="0"/>
                <a:ea typeface="Cambria" panose="02040503050406030204" pitchFamily="18" charset="0"/>
              </a:rPr>
              <a:t>Hospitals With Highest Procurement On Equipments</a:t>
            </a:r>
            <a:r>
              <a:rPr lang="en-GB" sz="800" b="1" i="0" u="none" strike="noStrike" baseline="0">
                <a:solidFill>
                  <a:sysClr val="windowText" lastClr="000000"/>
                </a:solidFill>
                <a:latin typeface="Cambria" panose="02040503050406030204" pitchFamily="18" charset="0"/>
                <a:ea typeface="Cambria" panose="02040503050406030204" pitchFamily="18" charset="0"/>
              </a:rPr>
              <a:t> </a:t>
            </a:r>
            <a:endParaRPr lang="en-US" sz="800" b="1">
              <a:solidFill>
                <a:sysClr val="windowText" lastClr="000000"/>
              </a:solidFill>
              <a:latin typeface="Cambria" panose="02040503050406030204" pitchFamily="18" charset="0"/>
              <a:ea typeface="Cambria" panose="020405030504060302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Table'!$B$73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Table'!$A$74:$A$89</c:f>
              <c:strCache>
                <c:ptCount val="15"/>
                <c:pt idx="0">
                  <c:v> Minna Federal Medical Center</c:v>
                </c:pt>
                <c:pt idx="1">
                  <c:v> Yenagoa Medical Center</c:v>
                </c:pt>
                <c:pt idx="2">
                  <c:v> Dutse General Hospital</c:v>
                </c:pt>
                <c:pt idx="3">
                  <c:v> Benin City General Hospital</c:v>
                </c:pt>
                <c:pt idx="4">
                  <c:v> Gusau General Hospital</c:v>
                </c:pt>
                <c:pt idx="5">
                  <c:v> Abeokuta General Hospital</c:v>
                </c:pt>
                <c:pt idx="6">
                  <c:v> Keffi Federal Medical Center</c:v>
                </c:pt>
                <c:pt idx="7">
                  <c:v> Egbe Specialist</c:v>
                </c:pt>
                <c:pt idx="8">
                  <c:v> Umuahia General Hospital</c:v>
                </c:pt>
                <c:pt idx="9">
                  <c:v> Kaduna National Hospital</c:v>
                </c:pt>
                <c:pt idx="10">
                  <c:v> Bauchi National Hospital</c:v>
                </c:pt>
                <c:pt idx="11">
                  <c:v> Iragbiji Hospital</c:v>
                </c:pt>
                <c:pt idx="12">
                  <c:v> Ifo Medical</c:v>
                </c:pt>
                <c:pt idx="13">
                  <c:v> Makurdi General Hospital</c:v>
                </c:pt>
                <c:pt idx="14">
                  <c:v> Port Harcourt General</c:v>
                </c:pt>
              </c:strCache>
            </c:strRef>
          </c:cat>
          <c:val>
            <c:numRef>
              <c:f>'Pivot Table'!$B$74:$B$89</c:f>
              <c:numCache>
                <c:formatCode>_("$"* #,##0_);_("$"* \(#,##0\);_("$"* "-"??_);_(@_)</c:formatCode>
                <c:ptCount val="15"/>
                <c:pt idx="0">
                  <c:v>1815000</c:v>
                </c:pt>
                <c:pt idx="1">
                  <c:v>1434000</c:v>
                </c:pt>
                <c:pt idx="2">
                  <c:v>1335000</c:v>
                </c:pt>
                <c:pt idx="3">
                  <c:v>1274000</c:v>
                </c:pt>
                <c:pt idx="4">
                  <c:v>1230000</c:v>
                </c:pt>
                <c:pt idx="5">
                  <c:v>1140000</c:v>
                </c:pt>
                <c:pt idx="6">
                  <c:v>1110000</c:v>
                </c:pt>
                <c:pt idx="7">
                  <c:v>765000</c:v>
                </c:pt>
                <c:pt idx="8">
                  <c:v>765000</c:v>
                </c:pt>
                <c:pt idx="9">
                  <c:v>630000</c:v>
                </c:pt>
                <c:pt idx="10">
                  <c:v>615000</c:v>
                </c:pt>
                <c:pt idx="11">
                  <c:v>615000</c:v>
                </c:pt>
                <c:pt idx="12">
                  <c:v>526000</c:v>
                </c:pt>
                <c:pt idx="13">
                  <c:v>514000</c:v>
                </c:pt>
                <c:pt idx="14">
                  <c:v>463000</c:v>
                </c:pt>
              </c:numCache>
            </c:numRef>
          </c:val>
        </c:ser>
        <c:dLbls>
          <c:dLblPos val="outEnd"/>
          <c:showLegendKey val="0"/>
          <c:showVal val="1"/>
          <c:showCatName val="0"/>
          <c:showSerName val="0"/>
          <c:showPercent val="0"/>
          <c:showBubbleSize val="0"/>
        </c:dLbls>
        <c:gapWidth val="182"/>
        <c:axId val="284800664"/>
        <c:axId val="284804976"/>
      </c:barChart>
      <c:catAx>
        <c:axId val="284800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crossAx val="284804976"/>
        <c:crosses val="autoZero"/>
        <c:auto val="1"/>
        <c:lblAlgn val="ctr"/>
        <c:lblOffset val="100"/>
        <c:noMultiLvlLbl val="0"/>
      </c:catAx>
      <c:valAx>
        <c:axId val="284804976"/>
        <c:scaling>
          <c:orientation val="minMax"/>
        </c:scaling>
        <c:delete val="1"/>
        <c:axPos val="b"/>
        <c:numFmt formatCode="_(&quot;$&quot;* #,##0_);_(&quot;$&quot;* \(#,##0\);_(&quot;$&quot;* &quot;-&quot;??_);_(@_)" sourceLinked="1"/>
        <c:majorTickMark val="none"/>
        <c:minorTickMark val="none"/>
        <c:tickLblPos val="nextTo"/>
        <c:crossAx val="2848006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Dashboard.xlsx]Pivot Table!PivotTable11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800" b="1" i="0" u="none" strike="noStrike" baseline="0">
                <a:solidFill>
                  <a:sysClr val="windowText" lastClr="000000"/>
                </a:solidFill>
                <a:effectLst/>
                <a:latin typeface="Cambria" panose="02040503050406030204" pitchFamily="18" charset="0"/>
                <a:ea typeface="Cambria" panose="02040503050406030204" pitchFamily="18" charset="0"/>
              </a:rPr>
              <a:t>How Does Maintenance Cost Vary By Equipment Type</a:t>
            </a:r>
            <a:r>
              <a:rPr lang="en-GB" sz="800" b="1" i="0" u="none" strike="noStrike" baseline="0">
                <a:solidFill>
                  <a:sysClr val="windowText" lastClr="000000"/>
                </a:solidFill>
                <a:latin typeface="Cambria" panose="02040503050406030204" pitchFamily="18" charset="0"/>
                <a:ea typeface="Cambria" panose="02040503050406030204" pitchFamily="18" charset="0"/>
              </a:rPr>
              <a:t> </a:t>
            </a:r>
            <a:endParaRPr lang="en-US" sz="800" b="1">
              <a:solidFill>
                <a:sysClr val="windowText" lastClr="000000"/>
              </a:solidFill>
              <a:latin typeface="Cambria" panose="02040503050406030204" pitchFamily="18" charset="0"/>
              <a:ea typeface="Cambria" panose="020405030504060302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dLbl>
          <c:idx val="0"/>
          <c:layout>
            <c:manualLayout>
              <c:x val="4.9622025552591049E-3"/>
              <c:y val="-4.8449612403101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1"/>
          </a:solidFill>
          <a:ln>
            <a:noFill/>
          </a:ln>
          <a:effectLst/>
        </c:spPr>
        <c:dLbl>
          <c:idx val="0"/>
          <c:layout>
            <c:manualLayout>
              <c:x val="-3.3705884904883074E-3"/>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'Pivot Table'!$B$158</c:f>
              <c:strCache>
                <c:ptCount val="1"/>
                <c:pt idx="0">
                  <c:v>Total</c:v>
                </c:pt>
              </c:strCache>
            </c:strRef>
          </c:tx>
          <c:spPr>
            <a:solidFill>
              <a:schemeClr val="accent1"/>
            </a:solidFill>
            <a:ln>
              <a:noFill/>
            </a:ln>
            <a:effectLst/>
          </c:spPr>
          <c:invertIfNegative val="0"/>
          <c:dPt>
            <c:idx val="13"/>
            <c:invertIfNegative val="0"/>
            <c:bubble3D val="0"/>
          </c:dPt>
          <c:dPt>
            <c:idx val="14"/>
            <c:invertIfNegative val="0"/>
            <c:bubble3D val="0"/>
          </c:dPt>
          <c:dLbls>
            <c:dLbl>
              <c:idx val="13"/>
              <c:layout>
                <c:manualLayout>
                  <c:x val="-3.3705884904883074E-3"/>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14"/>
              <c:layout>
                <c:manualLayout>
                  <c:x val="4.9622025552591049E-3"/>
                  <c:y val="-4.8449612403101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Table'!$A$159:$A$174</c:f>
              <c:strCache>
                <c:ptCount val="15"/>
                <c:pt idx="0">
                  <c:v> MRI Machine</c:v>
                </c:pt>
                <c:pt idx="1">
                  <c:v> CT Scanner</c:v>
                </c:pt>
                <c:pt idx="2">
                  <c:v> Anesthesia Machine</c:v>
                </c:pt>
                <c:pt idx="3">
                  <c:v> Ventilator</c:v>
                </c:pt>
                <c:pt idx="4">
                  <c:v> Operating Table</c:v>
                </c:pt>
                <c:pt idx="5">
                  <c:v> X-ray Machine</c:v>
                </c:pt>
                <c:pt idx="6">
                  <c:v> Defibrillator</c:v>
                </c:pt>
                <c:pt idx="7">
                  <c:v> Infant Incubator</c:v>
                </c:pt>
                <c:pt idx="8">
                  <c:v> Phototherapy Unit</c:v>
                </c:pt>
                <c:pt idx="9">
                  <c:v> Ultrasound Machine</c:v>
                </c:pt>
                <c:pt idx="10">
                  <c:v> Infant Warmers</c:v>
                </c:pt>
                <c:pt idx="11">
                  <c:v> C-arm Fluoroscopy</c:v>
                </c:pt>
                <c:pt idx="12">
                  <c:v> Radiation Machine</c:v>
                </c:pt>
                <c:pt idx="13">
                  <c:v> Neuroendoscope</c:v>
                </c:pt>
                <c:pt idx="14">
                  <c:v> Echocardiogram</c:v>
                </c:pt>
              </c:strCache>
            </c:strRef>
          </c:cat>
          <c:val>
            <c:numRef>
              <c:f>'Pivot Table'!$B$159:$B$174</c:f>
              <c:numCache>
                <c:formatCode>_("$"* #,##0_);_("$"* \(#,##0\);_("$"* "-"??_);_(@_)</c:formatCode>
                <c:ptCount val="15"/>
                <c:pt idx="0">
                  <c:v>57000</c:v>
                </c:pt>
                <c:pt idx="1">
                  <c:v>41000</c:v>
                </c:pt>
                <c:pt idx="2">
                  <c:v>40000</c:v>
                </c:pt>
                <c:pt idx="3">
                  <c:v>33000</c:v>
                </c:pt>
                <c:pt idx="4">
                  <c:v>32600</c:v>
                </c:pt>
                <c:pt idx="5">
                  <c:v>29000</c:v>
                </c:pt>
                <c:pt idx="6">
                  <c:v>23800</c:v>
                </c:pt>
                <c:pt idx="7">
                  <c:v>20000</c:v>
                </c:pt>
                <c:pt idx="8">
                  <c:v>17800</c:v>
                </c:pt>
                <c:pt idx="9">
                  <c:v>16000</c:v>
                </c:pt>
                <c:pt idx="10">
                  <c:v>14600</c:v>
                </c:pt>
                <c:pt idx="11">
                  <c:v>12500</c:v>
                </c:pt>
                <c:pt idx="12">
                  <c:v>10000</c:v>
                </c:pt>
                <c:pt idx="13">
                  <c:v>6000</c:v>
                </c:pt>
                <c:pt idx="14">
                  <c:v>5000</c:v>
                </c:pt>
              </c:numCache>
            </c:numRef>
          </c:val>
        </c:ser>
        <c:dLbls>
          <c:dLblPos val="inEnd"/>
          <c:showLegendKey val="0"/>
          <c:showVal val="1"/>
          <c:showCatName val="0"/>
          <c:showSerName val="0"/>
          <c:showPercent val="0"/>
          <c:showBubbleSize val="0"/>
        </c:dLbls>
        <c:gapWidth val="150"/>
        <c:overlap val="100"/>
        <c:axId val="284803408"/>
        <c:axId val="284798312"/>
      </c:barChart>
      <c:catAx>
        <c:axId val="284803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crossAx val="284798312"/>
        <c:crosses val="autoZero"/>
        <c:auto val="1"/>
        <c:lblAlgn val="ctr"/>
        <c:lblOffset val="100"/>
        <c:noMultiLvlLbl val="0"/>
      </c:catAx>
      <c:valAx>
        <c:axId val="284798312"/>
        <c:scaling>
          <c:orientation val="minMax"/>
        </c:scaling>
        <c:delete val="1"/>
        <c:axPos val="b"/>
        <c:numFmt formatCode="_(&quot;$&quot;* #,##0_);_(&quot;$&quot;* \(#,##0\);_(&quot;$&quot;* &quot;-&quot;??_);_(@_)" sourceLinked="1"/>
        <c:majorTickMark val="none"/>
        <c:minorTickMark val="none"/>
        <c:tickLblPos val="nextTo"/>
        <c:crossAx val="2848034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Dashboard.xlsx]Pivot Table!PivotTable15</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GB" sz="800" b="1" i="0" u="none" strike="noStrike" baseline="0">
                <a:solidFill>
                  <a:sysClr val="windowText" lastClr="000000"/>
                </a:solidFill>
                <a:effectLst/>
                <a:latin typeface="Cambria" panose="02040503050406030204" pitchFamily="18" charset="0"/>
                <a:ea typeface="Cambria" panose="02040503050406030204" pitchFamily="18" charset="0"/>
              </a:rPr>
              <a:t>How Equipment Condition Vary with Installation Cost</a:t>
            </a:r>
            <a:r>
              <a:rPr lang="en-GB" sz="800" b="1" i="0" u="none" strike="noStrike" baseline="0">
                <a:solidFill>
                  <a:sysClr val="windowText" lastClr="000000"/>
                </a:solidFill>
                <a:latin typeface="Cambria" panose="02040503050406030204" pitchFamily="18" charset="0"/>
                <a:ea typeface="Cambria" panose="02040503050406030204" pitchFamily="18" charset="0"/>
              </a:rPr>
              <a:t> </a:t>
            </a:r>
            <a:endParaRPr lang="en-US" sz="800" b="1">
              <a:solidFill>
                <a:sysClr val="windowText" lastClr="000000"/>
              </a:solidFill>
              <a:latin typeface="Cambria" panose="02040503050406030204" pitchFamily="18" charset="0"/>
              <a:ea typeface="Cambria" panose="02040503050406030204" pitchFamily="18" charset="0"/>
            </a:endParaRPr>
          </a:p>
        </c:rich>
      </c:tx>
      <c:layout>
        <c:manualLayout>
          <c:xMode val="edge"/>
          <c:yMode val="edge"/>
          <c:x val="0.14148752878282853"/>
          <c:y val="3.952569169960474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Table'!$B$331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Table'!$A$332:$A$336</c:f>
              <c:strCache>
                <c:ptCount val="4"/>
                <c:pt idx="0">
                  <c:v> New</c:v>
                </c:pt>
                <c:pt idx="1">
                  <c:v> Refurbished</c:v>
                </c:pt>
                <c:pt idx="2">
                  <c:v> Used - Good</c:v>
                </c:pt>
                <c:pt idx="3">
                  <c:v> Used - Fair</c:v>
                </c:pt>
              </c:strCache>
            </c:strRef>
          </c:cat>
          <c:val>
            <c:numRef>
              <c:f>'Pivot Table'!$B$332:$B$336</c:f>
              <c:numCache>
                <c:formatCode>_("$"* #,##0_);_("$"* \(#,##0\);_("$"* "-"??_);_(@_)</c:formatCode>
                <c:ptCount val="4"/>
                <c:pt idx="0">
                  <c:v>1460.483870967742</c:v>
                </c:pt>
                <c:pt idx="1">
                  <c:v>910</c:v>
                </c:pt>
                <c:pt idx="2">
                  <c:v>618.18181818181813</c:v>
                </c:pt>
                <c:pt idx="3">
                  <c:v>475</c:v>
                </c:pt>
              </c:numCache>
            </c:numRef>
          </c:val>
        </c:ser>
        <c:dLbls>
          <c:dLblPos val="outEnd"/>
          <c:showLegendKey val="0"/>
          <c:showVal val="1"/>
          <c:showCatName val="0"/>
          <c:showSerName val="0"/>
          <c:showPercent val="0"/>
          <c:showBubbleSize val="0"/>
        </c:dLbls>
        <c:gapWidth val="219"/>
        <c:overlap val="-27"/>
        <c:axId val="284797528"/>
        <c:axId val="284799880"/>
      </c:barChart>
      <c:catAx>
        <c:axId val="284797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crossAx val="284799880"/>
        <c:crosses val="autoZero"/>
        <c:auto val="1"/>
        <c:lblAlgn val="ctr"/>
        <c:lblOffset val="100"/>
        <c:noMultiLvlLbl val="0"/>
      </c:catAx>
      <c:valAx>
        <c:axId val="284799880"/>
        <c:scaling>
          <c:orientation val="minMax"/>
        </c:scaling>
        <c:delete val="1"/>
        <c:axPos val="l"/>
        <c:numFmt formatCode="_(&quot;$&quot;* #,##0_);_(&quot;$&quot;* \(#,##0\);_(&quot;$&quot;* &quot;-&quot;??_);_(@_)" sourceLinked="1"/>
        <c:majorTickMark val="none"/>
        <c:minorTickMark val="none"/>
        <c:tickLblPos val="nextTo"/>
        <c:crossAx val="2847975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Dashboard.xlsx]Pivot Table!PivotTable10</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GB" sz="800" b="1" i="0" u="none" strike="noStrike" baseline="0">
                <a:solidFill>
                  <a:sysClr val="windowText" lastClr="000000"/>
                </a:solidFill>
                <a:effectLst/>
                <a:latin typeface="Cambria" panose="02040503050406030204" pitchFamily="18" charset="0"/>
                <a:ea typeface="Cambria" panose="02040503050406030204" pitchFamily="18" charset="0"/>
              </a:rPr>
              <a:t>Distribution Of Equipment Across Departments</a:t>
            </a:r>
            <a:r>
              <a:rPr lang="en-GB" sz="800" b="1" i="0" u="none" strike="noStrike" baseline="0">
                <a:solidFill>
                  <a:sysClr val="windowText" lastClr="000000"/>
                </a:solidFill>
                <a:latin typeface="Cambria" panose="02040503050406030204" pitchFamily="18" charset="0"/>
                <a:ea typeface="Cambria" panose="02040503050406030204" pitchFamily="18" charset="0"/>
              </a:rPr>
              <a:t> </a:t>
            </a:r>
            <a:endParaRPr lang="en-GB" sz="800" b="1">
              <a:solidFill>
                <a:sysClr val="windowText" lastClr="000000"/>
              </a:solidFill>
              <a:latin typeface="Cambria" panose="02040503050406030204" pitchFamily="18" charset="0"/>
              <a:ea typeface="Cambria" panose="02040503050406030204" pitchFamily="18" charset="0"/>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1"/>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2.0720171735763768E-2"/>
                  <c:h val="0.1364440626896731"/>
                </c:manualLayout>
              </c15:layout>
            </c:ext>
          </c:extLst>
        </c:dLbl>
      </c:pivotFmt>
    </c:pivotFmts>
    <c:plotArea>
      <c:layout>
        <c:manualLayout>
          <c:layoutTarget val="inner"/>
          <c:xMode val="edge"/>
          <c:yMode val="edge"/>
          <c:x val="7.7617917245638421E-2"/>
          <c:y val="7.9129574678536096E-2"/>
          <c:w val="0.87673908638258458"/>
          <c:h val="0.6573046073257236"/>
        </c:manualLayout>
      </c:layout>
      <c:barChart>
        <c:barDir val="col"/>
        <c:grouping val="stacked"/>
        <c:varyColors val="0"/>
        <c:ser>
          <c:idx val="0"/>
          <c:order val="0"/>
          <c:tx>
            <c:strRef>
              <c:f>'Pivot Table'!$B$112:$B$113</c:f>
              <c:strCache>
                <c:ptCount val="1"/>
                <c:pt idx="0">
                  <c:v> New</c:v>
                </c:pt>
              </c:strCache>
            </c:strRef>
          </c:tx>
          <c:spPr>
            <a:solidFill>
              <a:schemeClr val="accent1"/>
            </a:solidFill>
            <a:ln>
              <a:noFill/>
            </a:ln>
            <a:effectLst/>
          </c:spPr>
          <c:invertIfNegative val="0"/>
          <c:dPt>
            <c:idx val="7"/>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Table'!$A$114:$A$119</c:f>
              <c:strCache>
                <c:ptCount val="5"/>
                <c:pt idx="0">
                  <c:v> Emergency Care</c:v>
                </c:pt>
                <c:pt idx="1">
                  <c:v> Hematology</c:v>
                </c:pt>
                <c:pt idx="2">
                  <c:v> Pediatrics</c:v>
                </c:pt>
                <c:pt idx="3">
                  <c:v> Radiology</c:v>
                </c:pt>
                <c:pt idx="4">
                  <c:v> Surgery</c:v>
                </c:pt>
              </c:strCache>
            </c:strRef>
          </c:cat>
          <c:val>
            <c:numRef>
              <c:f>'Pivot Table'!$B$114:$B$119</c:f>
              <c:numCache>
                <c:formatCode>General</c:formatCode>
                <c:ptCount val="5"/>
                <c:pt idx="0">
                  <c:v>35</c:v>
                </c:pt>
                <c:pt idx="1">
                  <c:v>3</c:v>
                </c:pt>
                <c:pt idx="3">
                  <c:v>33</c:v>
                </c:pt>
                <c:pt idx="4">
                  <c:v>24</c:v>
                </c:pt>
              </c:numCache>
            </c:numRef>
          </c:val>
        </c:ser>
        <c:ser>
          <c:idx val="1"/>
          <c:order val="1"/>
          <c:tx>
            <c:strRef>
              <c:f>'Pivot Table'!$C$112:$C$113</c:f>
              <c:strCache>
                <c:ptCount val="1"/>
                <c:pt idx="0">
                  <c:v> Refurbished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Table'!$A$114:$A$119</c:f>
              <c:strCache>
                <c:ptCount val="5"/>
                <c:pt idx="0">
                  <c:v> Emergency Care</c:v>
                </c:pt>
                <c:pt idx="1">
                  <c:v> Hematology</c:v>
                </c:pt>
                <c:pt idx="2">
                  <c:v> Pediatrics</c:v>
                </c:pt>
                <c:pt idx="3">
                  <c:v> Radiology</c:v>
                </c:pt>
                <c:pt idx="4">
                  <c:v> Surgery</c:v>
                </c:pt>
              </c:strCache>
            </c:strRef>
          </c:cat>
          <c:val>
            <c:numRef>
              <c:f>'Pivot Table'!$C$114:$C$119</c:f>
              <c:numCache>
                <c:formatCode>General</c:formatCode>
                <c:ptCount val="5"/>
                <c:pt idx="0">
                  <c:v>1</c:v>
                </c:pt>
                <c:pt idx="1">
                  <c:v>6</c:v>
                </c:pt>
                <c:pt idx="2">
                  <c:v>2</c:v>
                </c:pt>
                <c:pt idx="3">
                  <c:v>17</c:v>
                </c:pt>
                <c:pt idx="4">
                  <c:v>3</c:v>
                </c:pt>
              </c:numCache>
            </c:numRef>
          </c:val>
        </c:ser>
        <c:ser>
          <c:idx val="2"/>
          <c:order val="2"/>
          <c:tx>
            <c:strRef>
              <c:f>'Pivot Table'!$D$112:$D$113</c:f>
              <c:strCache>
                <c:ptCount val="1"/>
                <c:pt idx="0">
                  <c:v> Used - Good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Table'!$A$114:$A$119</c:f>
              <c:strCache>
                <c:ptCount val="5"/>
                <c:pt idx="0">
                  <c:v> Emergency Care</c:v>
                </c:pt>
                <c:pt idx="1">
                  <c:v> Hematology</c:v>
                </c:pt>
                <c:pt idx="2">
                  <c:v> Pediatrics</c:v>
                </c:pt>
                <c:pt idx="3">
                  <c:v> Radiology</c:v>
                </c:pt>
                <c:pt idx="4">
                  <c:v> Surgery</c:v>
                </c:pt>
              </c:strCache>
            </c:strRef>
          </c:cat>
          <c:val>
            <c:numRef>
              <c:f>'Pivot Table'!$D$114:$D$119</c:f>
              <c:numCache>
                <c:formatCode>General</c:formatCode>
                <c:ptCount val="5"/>
                <c:pt idx="2">
                  <c:v>60</c:v>
                </c:pt>
                <c:pt idx="3">
                  <c:v>1</c:v>
                </c:pt>
                <c:pt idx="4">
                  <c:v>20</c:v>
                </c:pt>
              </c:numCache>
            </c:numRef>
          </c:val>
        </c:ser>
        <c:dLbls>
          <c:dLblPos val="ctr"/>
          <c:showLegendKey val="0"/>
          <c:showVal val="1"/>
          <c:showCatName val="0"/>
          <c:showSerName val="0"/>
          <c:showPercent val="0"/>
          <c:showBubbleSize val="0"/>
        </c:dLbls>
        <c:gapWidth val="150"/>
        <c:overlap val="100"/>
        <c:axId val="284799488"/>
        <c:axId val="284803800"/>
      </c:barChart>
      <c:catAx>
        <c:axId val="28479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crossAx val="284803800"/>
        <c:crosses val="autoZero"/>
        <c:auto val="1"/>
        <c:lblAlgn val="ctr"/>
        <c:lblOffset val="100"/>
        <c:noMultiLvlLbl val="0"/>
      </c:catAx>
      <c:valAx>
        <c:axId val="284803800"/>
        <c:scaling>
          <c:orientation val="minMax"/>
        </c:scaling>
        <c:delete val="1"/>
        <c:axPos val="l"/>
        <c:numFmt formatCode="General" sourceLinked="1"/>
        <c:majorTickMark val="none"/>
        <c:minorTickMark val="none"/>
        <c:tickLblPos val="nextTo"/>
        <c:crossAx val="284799488"/>
        <c:crosses val="autoZero"/>
        <c:crossBetween val="between"/>
      </c:valAx>
      <c:spPr>
        <a:noFill/>
        <a:ln>
          <a:noFill/>
        </a:ln>
        <a:effectLst/>
      </c:spPr>
    </c:plotArea>
    <c:legend>
      <c:legendPos val="r"/>
      <c:layout>
        <c:manualLayout>
          <c:xMode val="edge"/>
          <c:yMode val="edge"/>
          <c:x val="1.2037787555967263E-2"/>
          <c:y val="6.0709751785477856E-2"/>
          <c:w val="0.18400877337885213"/>
          <c:h val="0.21990959463400409"/>
        </c:manualLayout>
      </c:layout>
      <c:overlay val="0"/>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Dashboard.xlsx]Pivot Table!PivotTable12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800" b="1" i="0" u="none" strike="noStrike" baseline="0">
                <a:solidFill>
                  <a:sysClr val="windowText" lastClr="000000"/>
                </a:solidFill>
                <a:effectLst/>
                <a:latin typeface="Cambria" panose="02040503050406030204" pitchFamily="18" charset="0"/>
                <a:ea typeface="Cambria" panose="02040503050406030204" pitchFamily="18" charset="0"/>
              </a:rPr>
              <a:t>AVG Delivery Day of Equipment from DIFF Suppliers</a:t>
            </a:r>
            <a:r>
              <a:rPr lang="en-GB" sz="800" b="1" i="0" u="none" strike="noStrike" baseline="0">
                <a:solidFill>
                  <a:sysClr val="windowText" lastClr="000000"/>
                </a:solidFill>
                <a:latin typeface="Cambria" panose="02040503050406030204" pitchFamily="18" charset="0"/>
                <a:ea typeface="Cambria" panose="02040503050406030204" pitchFamily="18" charset="0"/>
              </a:rPr>
              <a:t> </a:t>
            </a:r>
            <a:endParaRPr lang="en-US" sz="800" b="1">
              <a:solidFill>
                <a:sysClr val="windowText" lastClr="000000"/>
              </a:solidFill>
              <a:latin typeface="Cambria" panose="02040503050406030204" pitchFamily="18" charset="0"/>
              <a:ea typeface="Cambria" panose="020405030504060302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7062024443914207"/>
          <c:y val="0.22193585337915234"/>
          <c:w val="0.67466595084705316"/>
          <c:h val="0.71506300114547539"/>
        </c:manualLayout>
      </c:layout>
      <c:barChart>
        <c:barDir val="bar"/>
        <c:grouping val="stacked"/>
        <c:varyColors val="0"/>
        <c:ser>
          <c:idx val="0"/>
          <c:order val="0"/>
          <c:tx>
            <c:strRef>
              <c:f>'Pivot Table'!$B$197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Table'!$A$198:$A$218</c:f>
              <c:strCache>
                <c:ptCount val="20"/>
                <c:pt idx="0">
                  <c:v> MRI Solutions</c:v>
                </c:pt>
                <c:pt idx="1">
                  <c:v> UroMed</c:v>
                </c:pt>
                <c:pt idx="2">
                  <c:v> CardioTech</c:v>
                </c:pt>
                <c:pt idx="3">
                  <c:v> Imagix</c:v>
                </c:pt>
                <c:pt idx="4">
                  <c:v> GynoTech</c:v>
                </c:pt>
                <c:pt idx="5">
                  <c:v> NeoCare</c:v>
                </c:pt>
                <c:pt idx="6">
                  <c:v> PulmoTech</c:v>
                </c:pt>
                <c:pt idx="7">
                  <c:v> GastroTech</c:v>
                </c:pt>
                <c:pt idx="8">
                  <c:v> SteriTech</c:v>
                </c:pt>
                <c:pt idx="9">
                  <c:v> LifeSaver</c:v>
                </c:pt>
                <c:pt idx="10">
                  <c:v> OncoCare</c:v>
                </c:pt>
                <c:pt idx="11">
                  <c:v> MedTech Inc.</c:v>
                </c:pt>
                <c:pt idx="12">
                  <c:v> RespTech</c:v>
                </c:pt>
                <c:pt idx="13">
                  <c:v> CardioCare</c:v>
                </c:pt>
                <c:pt idx="14">
                  <c:v> UltraMed</c:v>
                </c:pt>
                <c:pt idx="15">
                  <c:v> NephroCare</c:v>
                </c:pt>
                <c:pt idx="16">
                  <c:v> NeuroSurg</c:v>
                </c:pt>
                <c:pt idx="17">
                  <c:v> CardiaTech</c:v>
                </c:pt>
                <c:pt idx="18">
                  <c:v> HearTech</c:v>
                </c:pt>
                <c:pt idx="19">
                  <c:v> RadSource</c:v>
                </c:pt>
              </c:strCache>
            </c:strRef>
          </c:cat>
          <c:val>
            <c:numRef>
              <c:f>'Pivot Table'!$B$198:$B$218</c:f>
              <c:numCache>
                <c:formatCode>0.00</c:formatCode>
                <c:ptCount val="20"/>
                <c:pt idx="0">
                  <c:v>29</c:v>
                </c:pt>
                <c:pt idx="1">
                  <c:v>27</c:v>
                </c:pt>
                <c:pt idx="2">
                  <c:v>27</c:v>
                </c:pt>
                <c:pt idx="3">
                  <c:v>26.333333333333332</c:v>
                </c:pt>
                <c:pt idx="4">
                  <c:v>26.333333333333332</c:v>
                </c:pt>
                <c:pt idx="5">
                  <c:v>26.048387096774192</c:v>
                </c:pt>
                <c:pt idx="6">
                  <c:v>26</c:v>
                </c:pt>
                <c:pt idx="7">
                  <c:v>26</c:v>
                </c:pt>
                <c:pt idx="8">
                  <c:v>26</c:v>
                </c:pt>
                <c:pt idx="9">
                  <c:v>26</c:v>
                </c:pt>
                <c:pt idx="10">
                  <c:v>26</c:v>
                </c:pt>
                <c:pt idx="11">
                  <c:v>26</c:v>
                </c:pt>
                <c:pt idx="12">
                  <c:v>26</c:v>
                </c:pt>
                <c:pt idx="13">
                  <c:v>26</c:v>
                </c:pt>
                <c:pt idx="14">
                  <c:v>26</c:v>
                </c:pt>
                <c:pt idx="15">
                  <c:v>26</c:v>
                </c:pt>
                <c:pt idx="16">
                  <c:v>26</c:v>
                </c:pt>
                <c:pt idx="17">
                  <c:v>25.631578947368421</c:v>
                </c:pt>
                <c:pt idx="18">
                  <c:v>25.5</c:v>
                </c:pt>
                <c:pt idx="19">
                  <c:v>25.5</c:v>
                </c:pt>
              </c:numCache>
            </c:numRef>
          </c:val>
        </c:ser>
        <c:dLbls>
          <c:dLblPos val="ctr"/>
          <c:showLegendKey val="0"/>
          <c:showVal val="1"/>
          <c:showCatName val="0"/>
          <c:showSerName val="0"/>
          <c:showPercent val="0"/>
          <c:showBubbleSize val="0"/>
        </c:dLbls>
        <c:gapWidth val="150"/>
        <c:overlap val="100"/>
        <c:axId val="284802624"/>
        <c:axId val="284800272"/>
      </c:barChart>
      <c:catAx>
        <c:axId val="284802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crossAx val="284800272"/>
        <c:crosses val="autoZero"/>
        <c:auto val="1"/>
        <c:lblAlgn val="ctr"/>
        <c:lblOffset val="100"/>
        <c:noMultiLvlLbl val="0"/>
      </c:catAx>
      <c:valAx>
        <c:axId val="284800272"/>
        <c:scaling>
          <c:orientation val="minMax"/>
        </c:scaling>
        <c:delete val="1"/>
        <c:axPos val="b"/>
        <c:numFmt formatCode="0.00" sourceLinked="1"/>
        <c:majorTickMark val="none"/>
        <c:minorTickMark val="none"/>
        <c:tickLblPos val="nextTo"/>
        <c:crossAx val="2848026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Dashboard.xlsx]Pivot Table!PivotTable13</c:name>
    <c:fmtId val="4"/>
  </c:pivotSource>
  <c:chart>
    <c:title>
      <c:tx>
        <c:rich>
          <a:bodyPr rot="0" spcFirstLastPara="1" vertOverflow="ellipsis" vert="horz" wrap="square" anchor="ctr" anchorCtr="1"/>
          <a:lstStyle/>
          <a:p>
            <a:pPr>
              <a:defRPr sz="1000" b="1" i="0" u="none" strike="noStrike" kern="1200" spc="0" baseline="0">
                <a:solidFill>
                  <a:sysClr val="windowText" lastClr="000000"/>
                </a:solidFill>
                <a:latin typeface="Cambria" panose="02040503050406030204" pitchFamily="18" charset="0"/>
                <a:ea typeface="Cambria" panose="02040503050406030204" pitchFamily="18" charset="0"/>
                <a:cs typeface="+mn-cs"/>
              </a:defRPr>
            </a:pPr>
            <a:r>
              <a:rPr lang="en-GB" sz="1000" b="1" i="0" u="none" strike="noStrike" baseline="0">
                <a:solidFill>
                  <a:sysClr val="windowText" lastClr="000000"/>
                </a:solidFill>
                <a:effectLst/>
                <a:latin typeface="Cambria" panose="02040503050406030204" pitchFamily="18" charset="0"/>
                <a:ea typeface="Cambria" panose="02040503050406030204" pitchFamily="18" charset="0"/>
              </a:rPr>
              <a:t>States With Highest Installation Cost</a:t>
            </a:r>
            <a:r>
              <a:rPr lang="en-GB" sz="1000" b="1" i="0" u="none" strike="noStrike" baseline="0">
                <a:solidFill>
                  <a:sysClr val="windowText" lastClr="000000"/>
                </a:solidFill>
                <a:latin typeface="Cambria" panose="02040503050406030204" pitchFamily="18" charset="0"/>
                <a:ea typeface="Cambria" panose="02040503050406030204" pitchFamily="18" charset="0"/>
              </a:rPr>
              <a:t> </a:t>
            </a:r>
            <a:endParaRPr lang="en-US" sz="1000" b="1">
              <a:solidFill>
                <a:sysClr val="windowText" lastClr="000000"/>
              </a:solidFill>
              <a:latin typeface="Cambria" panose="02040503050406030204" pitchFamily="18" charset="0"/>
              <a:ea typeface="Cambria" panose="02040503050406030204" pitchFamily="18" charset="0"/>
            </a:endParaRPr>
          </a:p>
        </c:rich>
      </c:tx>
      <c:layout>
        <c:manualLayout>
          <c:xMode val="edge"/>
          <c:yMode val="edge"/>
          <c:x val="0.14416177429876059"/>
          <c:y val="2.0990764063811923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Table'!$B$239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Table'!$A$240:$A$260</c:f>
              <c:strCache>
                <c:ptCount val="20"/>
                <c:pt idx="0">
                  <c:v> Osun</c:v>
                </c:pt>
                <c:pt idx="1">
                  <c:v> Ogun</c:v>
                </c:pt>
                <c:pt idx="2">
                  <c:v> Kaduna</c:v>
                </c:pt>
                <c:pt idx="3">
                  <c:v> Kogi</c:v>
                </c:pt>
                <c:pt idx="4">
                  <c:v> Bayelsa</c:v>
                </c:pt>
                <c:pt idx="5">
                  <c:v> Nasarawa</c:v>
                </c:pt>
                <c:pt idx="6">
                  <c:v> Imo</c:v>
                </c:pt>
                <c:pt idx="7">
                  <c:v> Edo</c:v>
                </c:pt>
                <c:pt idx="8">
                  <c:v> Niger</c:v>
                </c:pt>
                <c:pt idx="9">
                  <c:v> Abuja</c:v>
                </c:pt>
                <c:pt idx="10">
                  <c:v> Benue</c:v>
                </c:pt>
                <c:pt idx="11">
                  <c:v> Enugu</c:v>
                </c:pt>
                <c:pt idx="12">
                  <c:v> Abia</c:v>
                </c:pt>
                <c:pt idx="13">
                  <c:v> Bauchi</c:v>
                </c:pt>
                <c:pt idx="14">
                  <c:v> Sokoto</c:v>
                </c:pt>
                <c:pt idx="15">
                  <c:v> Rivers</c:v>
                </c:pt>
                <c:pt idx="16">
                  <c:v> Zamfara</c:v>
                </c:pt>
                <c:pt idx="17">
                  <c:v> Cross River</c:v>
                </c:pt>
                <c:pt idx="18">
                  <c:v> Oyo</c:v>
                </c:pt>
                <c:pt idx="19">
                  <c:v> Anambra</c:v>
                </c:pt>
              </c:strCache>
            </c:strRef>
          </c:cat>
          <c:val>
            <c:numRef>
              <c:f>'Pivot Table'!$B$240:$B$260</c:f>
              <c:numCache>
                <c:formatCode>_("$"* #,##0_);_("$"* \(#,##0\);_("$"* "-"??_);_(@_)</c:formatCode>
                <c:ptCount val="20"/>
                <c:pt idx="0">
                  <c:v>26400</c:v>
                </c:pt>
                <c:pt idx="1">
                  <c:v>22800</c:v>
                </c:pt>
                <c:pt idx="2">
                  <c:v>16000</c:v>
                </c:pt>
                <c:pt idx="3">
                  <c:v>12800</c:v>
                </c:pt>
                <c:pt idx="4">
                  <c:v>12700</c:v>
                </c:pt>
                <c:pt idx="5">
                  <c:v>11800</c:v>
                </c:pt>
                <c:pt idx="6">
                  <c:v>11700</c:v>
                </c:pt>
                <c:pt idx="7">
                  <c:v>10500</c:v>
                </c:pt>
                <c:pt idx="8">
                  <c:v>9700</c:v>
                </c:pt>
                <c:pt idx="9">
                  <c:v>9400</c:v>
                </c:pt>
                <c:pt idx="10">
                  <c:v>9400</c:v>
                </c:pt>
                <c:pt idx="11">
                  <c:v>8800</c:v>
                </c:pt>
                <c:pt idx="12">
                  <c:v>8600</c:v>
                </c:pt>
                <c:pt idx="13">
                  <c:v>8500</c:v>
                </c:pt>
                <c:pt idx="14">
                  <c:v>8000</c:v>
                </c:pt>
                <c:pt idx="15">
                  <c:v>7800</c:v>
                </c:pt>
                <c:pt idx="16">
                  <c:v>7300</c:v>
                </c:pt>
                <c:pt idx="17">
                  <c:v>7200</c:v>
                </c:pt>
                <c:pt idx="18">
                  <c:v>7100</c:v>
                </c:pt>
                <c:pt idx="19">
                  <c:v>6700</c:v>
                </c:pt>
              </c:numCache>
            </c:numRef>
          </c:val>
        </c:ser>
        <c:dLbls>
          <c:dLblPos val="outEnd"/>
          <c:showLegendKey val="0"/>
          <c:showVal val="1"/>
          <c:showCatName val="0"/>
          <c:showSerName val="0"/>
          <c:showPercent val="0"/>
          <c:showBubbleSize val="0"/>
        </c:dLbls>
        <c:gapWidth val="182"/>
        <c:axId val="284804584"/>
        <c:axId val="284803016"/>
      </c:barChart>
      <c:catAx>
        <c:axId val="284804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crossAx val="284803016"/>
        <c:crosses val="autoZero"/>
        <c:auto val="1"/>
        <c:lblAlgn val="ctr"/>
        <c:lblOffset val="100"/>
        <c:noMultiLvlLbl val="0"/>
      </c:catAx>
      <c:valAx>
        <c:axId val="284803016"/>
        <c:scaling>
          <c:orientation val="minMax"/>
        </c:scaling>
        <c:delete val="1"/>
        <c:axPos val="b"/>
        <c:numFmt formatCode="_(&quot;$&quot;* #,##0_);_(&quot;$&quot;* \(#,##0\);_(&quot;$&quot;* &quot;-&quot;??_);_(@_)" sourceLinked="1"/>
        <c:majorTickMark val="none"/>
        <c:minorTickMark val="none"/>
        <c:tickLblPos val="nextTo"/>
        <c:crossAx val="2848045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Dashboard.xlsx]Pivot Table!PivotTable14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800" b="1" i="0" baseline="0">
                <a:solidFill>
                  <a:schemeClr val="tx1"/>
                </a:solidFill>
                <a:effectLst/>
                <a:latin typeface="Cambria" panose="02040503050406030204" pitchFamily="18" charset="0"/>
                <a:ea typeface="Cambria" panose="02040503050406030204" pitchFamily="18" charset="0"/>
              </a:rPr>
              <a:t>Distribution Of Suppliers By Country </a:t>
            </a:r>
            <a:endParaRPr lang="en-GB" sz="800">
              <a:solidFill>
                <a:schemeClr val="tx1"/>
              </a:solidFill>
              <a:effectLst/>
              <a:latin typeface="Cambria" panose="02040503050406030204" pitchFamily="18" charset="0"/>
              <a:ea typeface="Cambria" panose="020405030504060302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GB" sz="800" b="1" i="0" u="none" strike="noStrike" kern="1200" spc="0" baseline="0">
                  <a:solidFill>
                    <a:schemeClr val="tx1"/>
                  </a:solidFill>
                  <a:effectLst/>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GB" sz="800" b="1" i="0" u="none" strike="noStrike" kern="1200" spc="0" baseline="0">
                  <a:solidFill>
                    <a:schemeClr val="tx1"/>
                  </a:solidFill>
                  <a:effectLst/>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rtl="0">
                <a:defRPr lang="en-GB" sz="800" b="1" i="0" u="none" strike="noStrike" kern="1200" spc="0" baseline="0">
                  <a:solidFill>
                    <a:schemeClr val="tx1"/>
                  </a:solidFill>
                  <a:effectLst/>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Table'!$B$290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GB" sz="800" b="1" i="0" u="none" strike="noStrike" kern="1200" spc="0" baseline="0">
                    <a:solidFill>
                      <a:schemeClr val="tx1"/>
                    </a:solidFill>
                    <a:effectLst/>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Table'!$A$291:$A$301</c:f>
              <c:strCache>
                <c:ptCount val="10"/>
                <c:pt idx="0">
                  <c:v> Australia</c:v>
                </c:pt>
                <c:pt idx="1">
                  <c:v> USA</c:v>
                </c:pt>
                <c:pt idx="2">
                  <c:v> UAE</c:v>
                </c:pt>
                <c:pt idx="3">
                  <c:v> France</c:v>
                </c:pt>
                <c:pt idx="4">
                  <c:v> China</c:v>
                </c:pt>
                <c:pt idx="5">
                  <c:v> Germany</c:v>
                </c:pt>
                <c:pt idx="6">
                  <c:v> Japan</c:v>
                </c:pt>
                <c:pt idx="7">
                  <c:v> Spain</c:v>
                </c:pt>
                <c:pt idx="8">
                  <c:v> Taiwan</c:v>
                </c:pt>
                <c:pt idx="9">
                  <c:v> Saudi Arabia</c:v>
                </c:pt>
              </c:strCache>
            </c:strRef>
          </c:cat>
          <c:val>
            <c:numRef>
              <c:f>'Pivot Table'!$B$291:$B$301</c:f>
              <c:numCache>
                <c:formatCode>General</c:formatCode>
                <c:ptCount val="10"/>
                <c:pt idx="0">
                  <c:v>62</c:v>
                </c:pt>
                <c:pt idx="1">
                  <c:v>44</c:v>
                </c:pt>
                <c:pt idx="2">
                  <c:v>42</c:v>
                </c:pt>
                <c:pt idx="3">
                  <c:v>27</c:v>
                </c:pt>
                <c:pt idx="4">
                  <c:v>24</c:v>
                </c:pt>
                <c:pt idx="5">
                  <c:v>16</c:v>
                </c:pt>
                <c:pt idx="6">
                  <c:v>11</c:v>
                </c:pt>
                <c:pt idx="7">
                  <c:v>8</c:v>
                </c:pt>
                <c:pt idx="8">
                  <c:v>7</c:v>
                </c:pt>
                <c:pt idx="9">
                  <c:v>5</c:v>
                </c:pt>
              </c:numCache>
            </c:numRef>
          </c:val>
        </c:ser>
        <c:dLbls>
          <c:dLblPos val="outEnd"/>
          <c:showLegendKey val="0"/>
          <c:showVal val="1"/>
          <c:showCatName val="0"/>
          <c:showSerName val="0"/>
          <c:showPercent val="0"/>
          <c:showBubbleSize val="0"/>
        </c:dLbls>
        <c:gapWidth val="219"/>
        <c:overlap val="-27"/>
        <c:axId val="349498096"/>
        <c:axId val="349498488"/>
      </c:barChart>
      <c:catAx>
        <c:axId val="34949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GB" sz="800" b="1" i="0" u="none" strike="noStrike" kern="1200" spc="0" baseline="0">
                <a:solidFill>
                  <a:schemeClr val="tx1"/>
                </a:solidFill>
                <a:effectLst/>
                <a:latin typeface="Cambria" panose="02040503050406030204" pitchFamily="18" charset="0"/>
                <a:ea typeface="Cambria" panose="02040503050406030204" pitchFamily="18" charset="0"/>
                <a:cs typeface="+mn-cs"/>
              </a:defRPr>
            </a:pPr>
            <a:endParaRPr lang="en-US"/>
          </a:p>
        </c:txPr>
        <c:crossAx val="349498488"/>
        <c:crosses val="autoZero"/>
        <c:auto val="1"/>
        <c:lblAlgn val="ctr"/>
        <c:lblOffset val="100"/>
        <c:noMultiLvlLbl val="0"/>
      </c:catAx>
      <c:valAx>
        <c:axId val="349498488"/>
        <c:scaling>
          <c:orientation val="minMax"/>
        </c:scaling>
        <c:delete val="1"/>
        <c:axPos val="l"/>
        <c:numFmt formatCode="General" sourceLinked="1"/>
        <c:majorTickMark val="none"/>
        <c:minorTickMark val="none"/>
        <c:tickLblPos val="nextTo"/>
        <c:crossAx val="3494980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10.xml"/><Relationship Id="rId7" Type="http://schemas.openxmlformats.org/officeDocument/2006/relationships/image" Target="../media/image1.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chart" Target="../charts/chart14.xml"/><Relationship Id="rId4" Type="http://schemas.openxmlformats.org/officeDocument/2006/relationships/chart" Target="../charts/chart11.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3</xdr:col>
      <xdr:colOff>518160</xdr:colOff>
      <xdr:row>74</xdr:row>
      <xdr:rowOff>7620</xdr:rowOff>
    </xdr:from>
    <xdr:to>
      <xdr:col>10</xdr:col>
      <xdr:colOff>403860</xdr:colOff>
      <xdr:row>89</xdr:row>
      <xdr:rowOff>7620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106680</xdr:colOff>
      <xdr:row>112</xdr:row>
      <xdr:rowOff>129540</xdr:rowOff>
    </xdr:from>
    <xdr:to>
      <xdr:col>13</xdr:col>
      <xdr:colOff>594360</xdr:colOff>
      <xdr:row>126</xdr:row>
      <xdr:rowOff>137160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434340</xdr:colOff>
      <xdr:row>157</xdr:row>
      <xdr:rowOff>99060</xdr:rowOff>
    </xdr:from>
    <xdr:to>
      <xdr:col>10</xdr:col>
      <xdr:colOff>320040</xdr:colOff>
      <xdr:row>172</xdr:row>
      <xdr:rowOff>99060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609600</xdr:colOff>
      <xdr:row>239</xdr:row>
      <xdr:rowOff>53340</xdr:rowOff>
    </xdr:from>
    <xdr:to>
      <xdr:col>10</xdr:col>
      <xdr:colOff>495300</xdr:colOff>
      <xdr:row>254</xdr:row>
      <xdr:rowOff>53340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525780</xdr:colOff>
      <xdr:row>196</xdr:row>
      <xdr:rowOff>121920</xdr:rowOff>
    </xdr:from>
    <xdr:to>
      <xdr:col>8</xdr:col>
      <xdr:colOff>76200</xdr:colOff>
      <xdr:row>208</xdr:row>
      <xdr:rowOff>144780</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350520</xdr:colOff>
      <xdr:row>328</xdr:row>
      <xdr:rowOff>167640</xdr:rowOff>
    </xdr:from>
    <xdr:to>
      <xdr:col>10</xdr:col>
      <xdr:colOff>297180</xdr:colOff>
      <xdr:row>340</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601980</xdr:colOff>
      <xdr:row>289</xdr:row>
      <xdr:rowOff>60960</xdr:rowOff>
    </xdr:from>
    <xdr:to>
      <xdr:col>11</xdr:col>
      <xdr:colOff>83820</xdr:colOff>
      <xdr:row>300</xdr:row>
      <xdr:rowOff>60960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99060</xdr:colOff>
      <xdr:row>0</xdr:row>
      <xdr:rowOff>25400</xdr:rowOff>
    </xdr:from>
    <xdr:to>
      <xdr:col>17</xdr:col>
      <xdr:colOff>523875</xdr:colOff>
      <xdr:row>3</xdr:row>
      <xdr:rowOff>40640</xdr:rowOff>
    </xdr:to>
    <xdr:sp macro="" textlink="">
      <xdr:nvSpPr>
        <xdr:cNvPr id="2" name="Rounded Rectangle 1"/>
        <xdr:cNvSpPr/>
      </xdr:nvSpPr>
      <xdr:spPr>
        <a:xfrm>
          <a:off x="99060" y="25400"/>
          <a:ext cx="10747534" cy="55102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248601</xdr:colOff>
      <xdr:row>0</xdr:row>
      <xdr:rowOff>27145</xdr:rowOff>
    </xdr:from>
    <xdr:to>
      <xdr:col>13</xdr:col>
      <xdr:colOff>285749</xdr:colOff>
      <xdr:row>3</xdr:row>
      <xdr:rowOff>23811</xdr:rowOff>
    </xdr:to>
    <xdr:sp macro="" textlink="">
      <xdr:nvSpPr>
        <xdr:cNvPr id="3" name="TextBox 2"/>
        <xdr:cNvSpPr txBox="1"/>
      </xdr:nvSpPr>
      <xdr:spPr>
        <a:xfrm>
          <a:off x="1463039" y="27145"/>
          <a:ext cx="6716554" cy="532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ysClr val="windowText" lastClr="000000"/>
              </a:solidFill>
              <a:latin typeface="Cambria" panose="02040503050406030204" pitchFamily="18" charset="0"/>
              <a:ea typeface="Cambria" panose="02040503050406030204" pitchFamily="18" charset="0"/>
            </a:rPr>
            <a:t>Medical Equipment Procurement Analysis Dashboard</a:t>
          </a:r>
        </a:p>
      </xdr:txBody>
    </xdr:sp>
    <xdr:clientData/>
  </xdr:twoCellAnchor>
  <xdr:twoCellAnchor>
    <xdr:from>
      <xdr:col>12</xdr:col>
      <xdr:colOff>551498</xdr:colOff>
      <xdr:row>1</xdr:row>
      <xdr:rowOff>137160</xdr:rowOff>
    </xdr:from>
    <xdr:to>
      <xdr:col>16</xdr:col>
      <xdr:colOff>256699</xdr:colOff>
      <xdr:row>3</xdr:row>
      <xdr:rowOff>22860</xdr:rowOff>
    </xdr:to>
    <xdr:sp macro="" textlink="">
      <xdr:nvSpPr>
        <xdr:cNvPr id="4" name="TextBox 3"/>
        <xdr:cNvSpPr txBox="1"/>
      </xdr:nvSpPr>
      <xdr:spPr>
        <a:xfrm>
          <a:off x="7838123" y="315754"/>
          <a:ext cx="2134076" cy="242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ysClr val="windowText" lastClr="000000"/>
              </a:solidFill>
              <a:latin typeface="Cambria" panose="02040503050406030204" pitchFamily="18" charset="0"/>
              <a:ea typeface="Cambria" panose="02040503050406030204" pitchFamily="18" charset="0"/>
            </a:rPr>
            <a:t>Created By OmangAnalytics</a:t>
          </a:r>
        </a:p>
      </xdr:txBody>
    </xdr:sp>
    <xdr:clientData/>
  </xdr:twoCellAnchor>
  <xdr:twoCellAnchor>
    <xdr:from>
      <xdr:col>0</xdr:col>
      <xdr:colOff>119380</xdr:colOff>
      <xdr:row>3</xdr:row>
      <xdr:rowOff>129540</xdr:rowOff>
    </xdr:from>
    <xdr:to>
      <xdr:col>3</xdr:col>
      <xdr:colOff>50800</xdr:colOff>
      <xdr:row>7</xdr:row>
      <xdr:rowOff>83820</xdr:rowOff>
    </xdr:to>
    <xdr:sp macro="" textlink="">
      <xdr:nvSpPr>
        <xdr:cNvPr id="5" name="Rounded Rectangle 4"/>
        <xdr:cNvSpPr/>
      </xdr:nvSpPr>
      <xdr:spPr>
        <a:xfrm>
          <a:off x="119380" y="662940"/>
          <a:ext cx="1760220" cy="6654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129540</xdr:colOff>
      <xdr:row>3</xdr:row>
      <xdr:rowOff>137160</xdr:rowOff>
    </xdr:from>
    <xdr:to>
      <xdr:col>5</xdr:col>
      <xdr:colOff>281940</xdr:colOff>
      <xdr:row>7</xdr:row>
      <xdr:rowOff>91440</xdr:rowOff>
    </xdr:to>
    <xdr:sp macro="" textlink="">
      <xdr:nvSpPr>
        <xdr:cNvPr id="6" name="Rounded Rectangle 5"/>
        <xdr:cNvSpPr/>
      </xdr:nvSpPr>
      <xdr:spPr>
        <a:xfrm>
          <a:off x="1958340" y="670560"/>
          <a:ext cx="1371600" cy="6654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368300</xdr:colOff>
      <xdr:row>3</xdr:row>
      <xdr:rowOff>137160</xdr:rowOff>
    </xdr:from>
    <xdr:to>
      <xdr:col>7</xdr:col>
      <xdr:colOff>566420</xdr:colOff>
      <xdr:row>7</xdr:row>
      <xdr:rowOff>76200</xdr:rowOff>
    </xdr:to>
    <xdr:sp macro="" textlink="">
      <xdr:nvSpPr>
        <xdr:cNvPr id="7" name="Rounded Rectangle 6"/>
        <xdr:cNvSpPr/>
      </xdr:nvSpPr>
      <xdr:spPr>
        <a:xfrm>
          <a:off x="3416300" y="670560"/>
          <a:ext cx="1417320" cy="6502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33020</xdr:colOff>
      <xdr:row>3</xdr:row>
      <xdr:rowOff>124460</xdr:rowOff>
    </xdr:from>
    <xdr:to>
      <xdr:col>10</xdr:col>
      <xdr:colOff>147320</xdr:colOff>
      <xdr:row>7</xdr:row>
      <xdr:rowOff>71120</xdr:rowOff>
    </xdr:to>
    <xdr:sp macro="" textlink="">
      <xdr:nvSpPr>
        <xdr:cNvPr id="8" name="Rounded Rectangle 7"/>
        <xdr:cNvSpPr/>
      </xdr:nvSpPr>
      <xdr:spPr>
        <a:xfrm>
          <a:off x="4909820" y="657860"/>
          <a:ext cx="1333500" cy="6578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68580</xdr:colOff>
      <xdr:row>12</xdr:row>
      <xdr:rowOff>15240</xdr:rowOff>
    </xdr:from>
    <xdr:to>
      <xdr:col>6</xdr:col>
      <xdr:colOff>228600</xdr:colOff>
      <xdr:row>15</xdr:row>
      <xdr:rowOff>99060</xdr:rowOff>
    </xdr:to>
    <xdr:sp macro="" textlink="">
      <xdr:nvSpPr>
        <xdr:cNvPr id="9" name="TextBox 8"/>
        <xdr:cNvSpPr txBox="1"/>
      </xdr:nvSpPr>
      <xdr:spPr>
        <a:xfrm>
          <a:off x="2506980" y="2209800"/>
          <a:ext cx="1379220" cy="63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0</xdr:col>
      <xdr:colOff>228600</xdr:colOff>
      <xdr:row>3</xdr:row>
      <xdr:rowOff>129540</xdr:rowOff>
    </xdr:from>
    <xdr:to>
      <xdr:col>2</xdr:col>
      <xdr:colOff>594360</xdr:colOff>
      <xdr:row>7</xdr:row>
      <xdr:rowOff>76200</xdr:rowOff>
    </xdr:to>
    <xdr:sp macro="" textlink="">
      <xdr:nvSpPr>
        <xdr:cNvPr id="10" name="TextBox 9"/>
        <xdr:cNvSpPr txBox="1"/>
      </xdr:nvSpPr>
      <xdr:spPr>
        <a:xfrm>
          <a:off x="228600" y="662940"/>
          <a:ext cx="1584960" cy="657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ysClr val="windowText" lastClr="000000"/>
              </a:solidFill>
              <a:latin typeface="Cambria" panose="02040503050406030204" pitchFamily="18" charset="0"/>
              <a:ea typeface="Cambria" panose="02040503050406030204" pitchFamily="18" charset="0"/>
            </a:rPr>
            <a:t>Total</a:t>
          </a:r>
          <a:r>
            <a:rPr lang="en-GB" sz="1200" b="1" baseline="0">
              <a:solidFill>
                <a:sysClr val="windowText" lastClr="000000"/>
              </a:solidFill>
              <a:latin typeface="Cambria" panose="02040503050406030204" pitchFamily="18" charset="0"/>
              <a:ea typeface="Cambria" panose="02040503050406030204" pitchFamily="18" charset="0"/>
            </a:rPr>
            <a:t>  </a:t>
          </a:r>
          <a:r>
            <a:rPr lang="en-GB" sz="1200" b="1">
              <a:solidFill>
                <a:sysClr val="windowText" lastClr="000000"/>
              </a:solidFill>
              <a:latin typeface="Cambria" panose="02040503050406030204" pitchFamily="18" charset="0"/>
              <a:ea typeface="Cambria" panose="02040503050406030204" pitchFamily="18" charset="0"/>
            </a:rPr>
            <a:t>Procurement</a:t>
          </a:r>
        </a:p>
        <a:p>
          <a:pPr algn="ctr"/>
          <a:r>
            <a:rPr lang="en-GB" sz="1200" b="1">
              <a:solidFill>
                <a:sysClr val="windowText" lastClr="000000"/>
              </a:solidFill>
              <a:latin typeface="Cambria" panose="02040503050406030204" pitchFamily="18" charset="0"/>
              <a:ea typeface="Cambria" panose="02040503050406030204" pitchFamily="18" charset="0"/>
            </a:rPr>
            <a:t>Cost </a:t>
          </a:r>
        </a:p>
        <a:p>
          <a:pPr algn="ctr"/>
          <a:r>
            <a:rPr lang="en-GB" sz="1200" b="1" i="0" u="none" strike="noStrike">
              <a:solidFill>
                <a:sysClr val="windowText" lastClr="000000"/>
              </a:solidFill>
              <a:effectLst/>
              <a:latin typeface="Cambria" panose="02040503050406030204" pitchFamily="18" charset="0"/>
              <a:ea typeface="Cambria" panose="02040503050406030204" pitchFamily="18" charset="0"/>
              <a:cs typeface="+mn-cs"/>
            </a:rPr>
            <a:t> $  20,910,500 </a:t>
          </a:r>
          <a:endParaRPr lang="en-GB" sz="1200" b="1">
            <a:solidFill>
              <a:sysClr val="windowText" lastClr="000000"/>
            </a:solidFill>
            <a:latin typeface="Cambria" panose="02040503050406030204" pitchFamily="18" charset="0"/>
            <a:ea typeface="Cambria" panose="02040503050406030204" pitchFamily="18" charset="0"/>
          </a:endParaRPr>
        </a:p>
        <a:p>
          <a:pPr algn="ctr"/>
          <a:endParaRPr lang="en-GB" sz="1100"/>
        </a:p>
      </xdr:txBody>
    </xdr:sp>
    <xdr:clientData/>
  </xdr:twoCellAnchor>
  <xdr:twoCellAnchor>
    <xdr:from>
      <xdr:col>3</xdr:col>
      <xdr:colOff>149860</xdr:colOff>
      <xdr:row>3</xdr:row>
      <xdr:rowOff>144780</xdr:rowOff>
    </xdr:from>
    <xdr:to>
      <xdr:col>5</xdr:col>
      <xdr:colOff>340360</xdr:colOff>
      <xdr:row>7</xdr:row>
      <xdr:rowOff>152400</xdr:rowOff>
    </xdr:to>
    <xdr:sp macro="" textlink="">
      <xdr:nvSpPr>
        <xdr:cNvPr id="11" name="TextBox 10"/>
        <xdr:cNvSpPr txBox="1"/>
      </xdr:nvSpPr>
      <xdr:spPr>
        <a:xfrm>
          <a:off x="1978660" y="678180"/>
          <a:ext cx="1409700" cy="718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latin typeface="Cambria" panose="02040503050406030204" pitchFamily="18" charset="0"/>
              <a:ea typeface="Cambria" panose="02040503050406030204" pitchFamily="18" charset="0"/>
            </a:rPr>
            <a:t>Total Installation Cost</a:t>
          </a:r>
        </a:p>
        <a:p>
          <a:pPr algn="ctr"/>
          <a:r>
            <a:rPr lang="en-GB" sz="1200" b="1" i="0" u="none" strike="noStrike">
              <a:solidFill>
                <a:sysClr val="windowText" lastClr="000000"/>
              </a:solidFill>
              <a:effectLst/>
              <a:latin typeface="Cambria" panose="02040503050406030204" pitchFamily="18" charset="0"/>
              <a:ea typeface="Cambria" panose="02040503050406030204" pitchFamily="18" charset="0"/>
              <a:cs typeface="+mn-cs"/>
            </a:rPr>
            <a:t> $  275,700 </a:t>
          </a:r>
          <a:endParaRPr lang="en-GB" sz="1200" b="1">
            <a:solidFill>
              <a:sysClr val="windowText" lastClr="000000"/>
            </a:solidFill>
            <a:latin typeface="Cambria" panose="02040503050406030204" pitchFamily="18" charset="0"/>
            <a:ea typeface="Cambria" panose="02040503050406030204" pitchFamily="18" charset="0"/>
          </a:endParaRPr>
        </a:p>
      </xdr:txBody>
    </xdr:sp>
    <xdr:clientData/>
  </xdr:twoCellAnchor>
  <xdr:twoCellAnchor>
    <xdr:from>
      <xdr:col>5</xdr:col>
      <xdr:colOff>332740</xdr:colOff>
      <xdr:row>3</xdr:row>
      <xdr:rowOff>139700</xdr:rowOff>
    </xdr:from>
    <xdr:to>
      <xdr:col>8</xdr:col>
      <xdr:colOff>43180</xdr:colOff>
      <xdr:row>7</xdr:row>
      <xdr:rowOff>139700</xdr:rowOff>
    </xdr:to>
    <xdr:sp macro="" textlink="">
      <xdr:nvSpPr>
        <xdr:cNvPr id="12" name="TextBox 11"/>
        <xdr:cNvSpPr txBox="1"/>
      </xdr:nvSpPr>
      <xdr:spPr>
        <a:xfrm>
          <a:off x="3380740" y="673100"/>
          <a:ext cx="1539240" cy="711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latin typeface="Cambria" panose="02040503050406030204" pitchFamily="18" charset="0"/>
              <a:ea typeface="Cambria" panose="02040503050406030204" pitchFamily="18" charset="0"/>
            </a:rPr>
            <a:t>Total Maintenance</a:t>
          </a:r>
        </a:p>
        <a:p>
          <a:pPr algn="ctr"/>
          <a:r>
            <a:rPr lang="en-GB" sz="1200" b="1">
              <a:solidFill>
                <a:sysClr val="windowText" lastClr="000000"/>
              </a:solidFill>
              <a:latin typeface="Cambria" panose="02040503050406030204" pitchFamily="18" charset="0"/>
              <a:ea typeface="Cambria" panose="02040503050406030204" pitchFamily="18" charset="0"/>
            </a:rPr>
            <a:t>Cost</a:t>
          </a:r>
        </a:p>
        <a:p>
          <a:pPr algn="ctr"/>
          <a:r>
            <a:rPr lang="en-GB" sz="1200" b="1" i="0" u="none" strike="noStrike">
              <a:solidFill>
                <a:sysClr val="windowText" lastClr="000000"/>
              </a:solidFill>
              <a:effectLst/>
              <a:latin typeface="Cambria" panose="02040503050406030204" pitchFamily="18" charset="0"/>
              <a:ea typeface="Cambria" panose="02040503050406030204" pitchFamily="18" charset="0"/>
              <a:cs typeface="+mn-cs"/>
            </a:rPr>
            <a:t> $  462,600 </a:t>
          </a:r>
          <a:endParaRPr lang="en-GB" sz="1200" b="1">
            <a:solidFill>
              <a:sysClr val="windowText" lastClr="000000"/>
            </a:solidFill>
            <a:latin typeface="Cambria" panose="02040503050406030204" pitchFamily="18" charset="0"/>
            <a:ea typeface="Cambria" panose="02040503050406030204" pitchFamily="18" charset="0"/>
          </a:endParaRPr>
        </a:p>
      </xdr:txBody>
    </xdr:sp>
    <xdr:clientData/>
  </xdr:twoCellAnchor>
  <xdr:twoCellAnchor>
    <xdr:from>
      <xdr:col>8</xdr:col>
      <xdr:colOff>86360</xdr:colOff>
      <xdr:row>3</xdr:row>
      <xdr:rowOff>160020</xdr:rowOff>
    </xdr:from>
    <xdr:to>
      <xdr:col>10</xdr:col>
      <xdr:colOff>116840</xdr:colOff>
      <xdr:row>7</xdr:row>
      <xdr:rowOff>76200</xdr:rowOff>
    </xdr:to>
    <xdr:sp macro="" textlink="">
      <xdr:nvSpPr>
        <xdr:cNvPr id="13" name="TextBox 12"/>
        <xdr:cNvSpPr txBox="1"/>
      </xdr:nvSpPr>
      <xdr:spPr>
        <a:xfrm>
          <a:off x="4963160" y="693420"/>
          <a:ext cx="1249680" cy="627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latin typeface="Cambria" panose="02040503050406030204" pitchFamily="18" charset="0"/>
              <a:ea typeface="Cambria" panose="02040503050406030204" pitchFamily="18" charset="0"/>
            </a:rPr>
            <a:t>Total Hospitals</a:t>
          </a:r>
        </a:p>
        <a:p>
          <a:pPr algn="ctr"/>
          <a:endParaRPr lang="en-GB" sz="1200" b="1" i="0" u="none" strike="noStrike">
            <a:solidFill>
              <a:sysClr val="windowText" lastClr="000000"/>
            </a:solidFill>
            <a:effectLst/>
            <a:latin typeface="Cambria" panose="02040503050406030204" pitchFamily="18" charset="0"/>
            <a:ea typeface="Cambria" panose="02040503050406030204" pitchFamily="18" charset="0"/>
            <a:cs typeface="+mn-cs"/>
          </a:endParaRPr>
        </a:p>
        <a:p>
          <a:pPr algn="ctr"/>
          <a:r>
            <a:rPr lang="en-GB" sz="1200" b="1" i="0" u="none" strike="noStrike">
              <a:solidFill>
                <a:sysClr val="windowText" lastClr="000000"/>
              </a:solidFill>
              <a:effectLst/>
              <a:latin typeface="Cambria" panose="02040503050406030204" pitchFamily="18" charset="0"/>
              <a:ea typeface="Cambria" panose="02040503050406030204" pitchFamily="18" charset="0"/>
              <a:cs typeface="+mn-cs"/>
            </a:rPr>
            <a:t>260</a:t>
          </a:r>
          <a:r>
            <a:rPr lang="en-GB" sz="1200" b="1">
              <a:solidFill>
                <a:sysClr val="windowText" lastClr="000000"/>
              </a:solidFill>
              <a:latin typeface="Cambria" panose="02040503050406030204" pitchFamily="18" charset="0"/>
              <a:ea typeface="Cambria" panose="02040503050406030204" pitchFamily="18" charset="0"/>
            </a:rPr>
            <a:t> </a:t>
          </a:r>
        </a:p>
        <a:p>
          <a:endParaRPr lang="en-GB" sz="1100"/>
        </a:p>
      </xdr:txBody>
    </xdr:sp>
    <xdr:clientData/>
  </xdr:twoCellAnchor>
  <xdr:twoCellAnchor>
    <xdr:from>
      <xdr:col>12</xdr:col>
      <xdr:colOff>488792</xdr:colOff>
      <xdr:row>3</xdr:row>
      <xdr:rowOff>149542</xdr:rowOff>
    </xdr:from>
    <xdr:to>
      <xdr:col>14</xdr:col>
      <xdr:colOff>603091</xdr:colOff>
      <xdr:row>7</xdr:row>
      <xdr:rowOff>83344</xdr:rowOff>
    </xdr:to>
    <xdr:sp macro="" textlink="">
      <xdr:nvSpPr>
        <xdr:cNvPr id="14" name="Rounded Rectangle 13"/>
        <xdr:cNvSpPr/>
      </xdr:nvSpPr>
      <xdr:spPr>
        <a:xfrm>
          <a:off x="7775417" y="685323"/>
          <a:ext cx="1328737" cy="64817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259080</xdr:colOff>
      <xdr:row>3</xdr:row>
      <xdr:rowOff>137160</xdr:rowOff>
    </xdr:from>
    <xdr:to>
      <xdr:col>12</xdr:col>
      <xdr:colOff>373380</xdr:colOff>
      <xdr:row>7</xdr:row>
      <xdr:rowOff>76200</xdr:rowOff>
    </xdr:to>
    <xdr:sp macro="" textlink="">
      <xdr:nvSpPr>
        <xdr:cNvPr id="15" name="Rounded Rectangle 14"/>
        <xdr:cNvSpPr/>
      </xdr:nvSpPr>
      <xdr:spPr>
        <a:xfrm>
          <a:off x="6355080" y="670560"/>
          <a:ext cx="1333500" cy="6502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455613</xdr:colOff>
      <xdr:row>3</xdr:row>
      <xdr:rowOff>157162</xdr:rowOff>
    </xdr:from>
    <xdr:to>
      <xdr:col>14</xdr:col>
      <xdr:colOff>524192</xdr:colOff>
      <xdr:row>7</xdr:row>
      <xdr:rowOff>80168</xdr:rowOff>
    </xdr:to>
    <xdr:sp macro="" textlink="">
      <xdr:nvSpPr>
        <xdr:cNvPr id="16" name="TextBox 15"/>
        <xdr:cNvSpPr txBox="1"/>
      </xdr:nvSpPr>
      <xdr:spPr>
        <a:xfrm>
          <a:off x="7742238" y="692943"/>
          <a:ext cx="1283017" cy="637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chemeClr val="tx1">
                  <a:lumMod val="95000"/>
                  <a:lumOff val="5000"/>
                </a:schemeClr>
              </a:solidFill>
              <a:latin typeface="Cambria" panose="02040503050406030204" pitchFamily="18" charset="0"/>
              <a:ea typeface="Cambria" panose="02040503050406030204" pitchFamily="18" charset="0"/>
            </a:rPr>
            <a:t>Total Suppliers</a:t>
          </a:r>
        </a:p>
        <a:p>
          <a:pPr algn="ctr"/>
          <a:endParaRPr lang="en-GB" sz="1200" b="1" i="0" u="none" strike="noStrike">
            <a:solidFill>
              <a:schemeClr val="tx1">
                <a:lumMod val="95000"/>
                <a:lumOff val="5000"/>
              </a:schemeClr>
            </a:solidFill>
            <a:effectLst/>
            <a:latin typeface="Cambria" panose="02040503050406030204" pitchFamily="18" charset="0"/>
            <a:ea typeface="Cambria" panose="02040503050406030204" pitchFamily="18" charset="0"/>
            <a:cs typeface="+mn-cs"/>
          </a:endParaRPr>
        </a:p>
        <a:p>
          <a:pPr algn="ctr"/>
          <a:r>
            <a:rPr lang="en-GB" sz="1200" b="1" i="0" u="none" strike="noStrike">
              <a:solidFill>
                <a:schemeClr val="tx1">
                  <a:lumMod val="95000"/>
                  <a:lumOff val="5000"/>
                </a:schemeClr>
              </a:solidFill>
              <a:effectLst/>
              <a:latin typeface="Cambria" panose="02040503050406030204" pitchFamily="18" charset="0"/>
              <a:ea typeface="Cambria" panose="02040503050406030204" pitchFamily="18" charset="0"/>
              <a:cs typeface="+mn-cs"/>
            </a:rPr>
            <a:t>260</a:t>
          </a:r>
          <a:r>
            <a:rPr lang="en-GB" sz="1200" b="1">
              <a:solidFill>
                <a:schemeClr val="tx1">
                  <a:lumMod val="95000"/>
                  <a:lumOff val="5000"/>
                </a:schemeClr>
              </a:solidFill>
              <a:latin typeface="Cambria" panose="02040503050406030204" pitchFamily="18" charset="0"/>
              <a:ea typeface="Cambria" panose="02040503050406030204" pitchFamily="18" charset="0"/>
            </a:rPr>
            <a:t> </a:t>
          </a:r>
        </a:p>
      </xdr:txBody>
    </xdr:sp>
    <xdr:clientData/>
  </xdr:twoCellAnchor>
  <xdr:twoCellAnchor>
    <xdr:from>
      <xdr:col>10</xdr:col>
      <xdr:colOff>215900</xdr:colOff>
      <xdr:row>3</xdr:row>
      <xdr:rowOff>160020</xdr:rowOff>
    </xdr:from>
    <xdr:to>
      <xdr:col>12</xdr:col>
      <xdr:colOff>391160</xdr:colOff>
      <xdr:row>7</xdr:row>
      <xdr:rowOff>99060</xdr:rowOff>
    </xdr:to>
    <xdr:sp macro="" textlink="">
      <xdr:nvSpPr>
        <xdr:cNvPr id="17" name="TextBox 16"/>
        <xdr:cNvSpPr txBox="1"/>
      </xdr:nvSpPr>
      <xdr:spPr>
        <a:xfrm>
          <a:off x="6311900" y="693420"/>
          <a:ext cx="1394460" cy="650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ysClr val="windowText" lastClr="000000"/>
              </a:solidFill>
              <a:latin typeface="Cambria" panose="02040503050406030204" pitchFamily="18" charset="0"/>
              <a:ea typeface="Cambria" panose="02040503050406030204" pitchFamily="18" charset="0"/>
            </a:rPr>
            <a:t>Average</a:t>
          </a:r>
          <a:r>
            <a:rPr lang="en-GB" sz="1200" b="1" baseline="0">
              <a:solidFill>
                <a:sysClr val="windowText" lastClr="000000"/>
              </a:solidFill>
              <a:latin typeface="Cambria" panose="02040503050406030204" pitchFamily="18" charset="0"/>
              <a:ea typeface="Cambria" panose="02040503050406030204" pitchFamily="18" charset="0"/>
            </a:rPr>
            <a:t> Delivery</a:t>
          </a:r>
        </a:p>
        <a:p>
          <a:pPr algn="ctr"/>
          <a:r>
            <a:rPr lang="en-GB" sz="1200" b="1" baseline="0">
              <a:solidFill>
                <a:sysClr val="windowText" lastClr="000000"/>
              </a:solidFill>
              <a:latin typeface="Cambria" panose="02040503050406030204" pitchFamily="18" charset="0"/>
              <a:ea typeface="Cambria" panose="02040503050406030204" pitchFamily="18" charset="0"/>
            </a:rPr>
            <a:t>Days</a:t>
          </a:r>
        </a:p>
        <a:p>
          <a:pPr algn="ctr"/>
          <a:r>
            <a:rPr lang="en-GB" sz="1200" b="1" i="0" u="none" strike="noStrike">
              <a:solidFill>
                <a:sysClr val="windowText" lastClr="000000"/>
              </a:solidFill>
              <a:effectLst/>
              <a:latin typeface="Cambria" panose="02040503050406030204" pitchFamily="18" charset="0"/>
              <a:ea typeface="Cambria" panose="02040503050406030204" pitchFamily="18" charset="0"/>
              <a:cs typeface="+mn-cs"/>
            </a:rPr>
            <a:t>25.30</a:t>
          </a:r>
          <a:r>
            <a:rPr lang="en-GB" sz="1200"/>
            <a:t> </a:t>
          </a:r>
          <a:endParaRPr lang="en-GB" sz="1200" b="1">
            <a:solidFill>
              <a:sysClr val="windowText" lastClr="000000"/>
            </a:solidFill>
            <a:latin typeface="Cambria" panose="02040503050406030204" pitchFamily="18" charset="0"/>
            <a:ea typeface="Cambria" panose="02040503050406030204" pitchFamily="18" charset="0"/>
          </a:endParaRPr>
        </a:p>
      </xdr:txBody>
    </xdr:sp>
    <xdr:clientData/>
  </xdr:twoCellAnchor>
  <xdr:twoCellAnchor>
    <xdr:from>
      <xdr:col>0</xdr:col>
      <xdr:colOff>88900</xdr:colOff>
      <xdr:row>8</xdr:row>
      <xdr:rowOff>7619</xdr:rowOff>
    </xdr:from>
    <xdr:to>
      <xdr:col>5</xdr:col>
      <xdr:colOff>530860</xdr:colOff>
      <xdr:row>24</xdr:row>
      <xdr:rowOff>30480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101600</xdr:colOff>
      <xdr:row>8</xdr:row>
      <xdr:rowOff>0</xdr:rowOff>
    </xdr:from>
    <xdr:to>
      <xdr:col>5</xdr:col>
      <xdr:colOff>589280</xdr:colOff>
      <xdr:row>24</xdr:row>
      <xdr:rowOff>121920</xdr:rowOff>
    </xdr:to>
    <xdr:sp macro="" textlink="">
      <xdr:nvSpPr>
        <xdr:cNvPr id="19" name="Rounded Rectangle 18"/>
        <xdr:cNvSpPr/>
      </xdr:nvSpPr>
      <xdr:spPr>
        <a:xfrm>
          <a:off x="101600" y="1463040"/>
          <a:ext cx="3535680" cy="304800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76200</xdr:colOff>
      <xdr:row>7</xdr:row>
      <xdr:rowOff>175260</xdr:rowOff>
    </xdr:from>
    <xdr:to>
      <xdr:col>9</xdr:col>
      <xdr:colOff>510540</xdr:colOff>
      <xdr:row>24</xdr:row>
      <xdr:rowOff>137160</xdr:rowOff>
    </xdr:to>
    <xdr:sp macro="" textlink="">
      <xdr:nvSpPr>
        <xdr:cNvPr id="20" name="Rounded Rectangle 19"/>
        <xdr:cNvSpPr/>
      </xdr:nvSpPr>
      <xdr:spPr>
        <a:xfrm>
          <a:off x="3733800" y="1455420"/>
          <a:ext cx="2263140" cy="307086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-1</xdr:colOff>
      <xdr:row>8</xdr:row>
      <xdr:rowOff>17780</xdr:rowOff>
    </xdr:from>
    <xdr:to>
      <xdr:col>16</xdr:col>
      <xdr:colOff>439783</xdr:colOff>
      <xdr:row>24</xdr:row>
      <xdr:rowOff>121920</xdr:rowOff>
    </xdr:to>
    <xdr:sp macro="" textlink="">
      <xdr:nvSpPr>
        <xdr:cNvPr id="21" name="Rounded Rectangle 20"/>
        <xdr:cNvSpPr/>
      </xdr:nvSpPr>
      <xdr:spPr>
        <a:xfrm>
          <a:off x="6095999" y="1480820"/>
          <a:ext cx="4097384" cy="303022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117687</xdr:colOff>
      <xdr:row>25</xdr:row>
      <xdr:rowOff>96520</xdr:rowOff>
    </xdr:from>
    <xdr:to>
      <xdr:col>6</xdr:col>
      <xdr:colOff>148167</xdr:colOff>
      <xdr:row>42</xdr:row>
      <xdr:rowOff>126275</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94827</xdr:rowOff>
    </xdr:from>
    <xdr:to>
      <xdr:col>6</xdr:col>
      <xdr:colOff>53340</xdr:colOff>
      <xdr:row>43</xdr:row>
      <xdr:rowOff>45720</xdr:rowOff>
    </xdr:to>
    <xdr:sp macro="" textlink="">
      <xdr:nvSpPr>
        <xdr:cNvPr id="24" name="Rounded Rectangle 23"/>
        <xdr:cNvSpPr/>
      </xdr:nvSpPr>
      <xdr:spPr>
        <a:xfrm>
          <a:off x="0" y="4666827"/>
          <a:ext cx="3710940" cy="3242733"/>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114300</xdr:colOff>
      <xdr:row>8</xdr:row>
      <xdr:rowOff>149860</xdr:rowOff>
    </xdr:from>
    <xdr:to>
      <xdr:col>9</xdr:col>
      <xdr:colOff>426720</xdr:colOff>
      <xdr:row>24</xdr:row>
      <xdr:rowOff>30480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317500</xdr:colOff>
      <xdr:row>25</xdr:row>
      <xdr:rowOff>89746</xdr:rowOff>
    </xdr:from>
    <xdr:to>
      <xdr:col>16</xdr:col>
      <xdr:colOff>304799</xdr:colOff>
      <xdr:row>42</xdr:row>
      <xdr:rowOff>19594</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203199</xdr:colOff>
      <xdr:row>25</xdr:row>
      <xdr:rowOff>62653</xdr:rowOff>
    </xdr:from>
    <xdr:to>
      <xdr:col>16</xdr:col>
      <xdr:colOff>413657</xdr:colOff>
      <xdr:row>43</xdr:row>
      <xdr:rowOff>71438</xdr:rowOff>
    </xdr:to>
    <xdr:sp macro="" textlink="">
      <xdr:nvSpPr>
        <xdr:cNvPr id="28" name="Rounded Rectangle 27"/>
        <xdr:cNvSpPr/>
      </xdr:nvSpPr>
      <xdr:spPr>
        <a:xfrm>
          <a:off x="3846512" y="4527497"/>
          <a:ext cx="6282645" cy="322347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533400</xdr:colOff>
      <xdr:row>25</xdr:row>
      <xdr:rowOff>68217</xdr:rowOff>
    </xdr:from>
    <xdr:to>
      <xdr:col>23</xdr:col>
      <xdr:colOff>285206</xdr:colOff>
      <xdr:row>43</xdr:row>
      <xdr:rowOff>71438</xdr:rowOff>
    </xdr:to>
    <xdr:sp macro="" textlink="">
      <xdr:nvSpPr>
        <xdr:cNvPr id="29" name="Rounded Rectangle 28"/>
        <xdr:cNvSpPr/>
      </xdr:nvSpPr>
      <xdr:spPr>
        <a:xfrm>
          <a:off x="10248900" y="4533061"/>
          <a:ext cx="4002337" cy="3217908"/>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546100</xdr:colOff>
      <xdr:row>7</xdr:row>
      <xdr:rowOff>152400</xdr:rowOff>
    </xdr:from>
    <xdr:to>
      <xdr:col>23</xdr:col>
      <xdr:colOff>285750</xdr:colOff>
      <xdr:row>24</xdr:row>
      <xdr:rowOff>106680</xdr:rowOff>
    </xdr:to>
    <xdr:sp macro="" textlink="">
      <xdr:nvSpPr>
        <xdr:cNvPr id="30" name="Rounded Rectangle 29"/>
        <xdr:cNvSpPr/>
      </xdr:nvSpPr>
      <xdr:spPr>
        <a:xfrm>
          <a:off x="10299700" y="1419225"/>
          <a:ext cx="4006850" cy="3030855"/>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606425</xdr:colOff>
      <xdr:row>7</xdr:row>
      <xdr:rowOff>165100</xdr:rowOff>
    </xdr:from>
    <xdr:to>
      <xdr:col>23</xdr:col>
      <xdr:colOff>200025</xdr:colOff>
      <xdr:row>24</xdr:row>
      <xdr:rowOff>57150</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523876</xdr:colOff>
      <xdr:row>25</xdr:row>
      <xdr:rowOff>165735</xdr:rowOff>
    </xdr:from>
    <xdr:to>
      <xdr:col>23</xdr:col>
      <xdr:colOff>200026</xdr:colOff>
      <xdr:row>42</xdr:row>
      <xdr:rowOff>114300</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105411</xdr:colOff>
      <xdr:row>3</xdr:row>
      <xdr:rowOff>147161</xdr:rowOff>
    </xdr:from>
    <xdr:to>
      <xdr:col>17</xdr:col>
      <xdr:colOff>547687</xdr:colOff>
      <xdr:row>7</xdr:row>
      <xdr:rowOff>80963</xdr:rowOff>
    </xdr:to>
    <xdr:sp macro="" textlink="">
      <xdr:nvSpPr>
        <xdr:cNvPr id="35" name="Rounded Rectangle 34"/>
        <xdr:cNvSpPr/>
      </xdr:nvSpPr>
      <xdr:spPr>
        <a:xfrm>
          <a:off x="9213692" y="682942"/>
          <a:ext cx="1656714" cy="64817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119062</xdr:colOff>
      <xdr:row>3</xdr:row>
      <xdr:rowOff>154782</xdr:rowOff>
    </xdr:from>
    <xdr:to>
      <xdr:col>17</xdr:col>
      <xdr:colOff>595312</xdr:colOff>
      <xdr:row>8</xdr:row>
      <xdr:rowOff>23813</xdr:rowOff>
    </xdr:to>
    <xdr:sp macro="" textlink="">
      <xdr:nvSpPr>
        <xdr:cNvPr id="22" name="TextBox 21"/>
        <xdr:cNvSpPr txBox="1"/>
      </xdr:nvSpPr>
      <xdr:spPr>
        <a:xfrm>
          <a:off x="9227343" y="690563"/>
          <a:ext cx="1690688"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tx1"/>
              </a:solidFill>
              <a:latin typeface="Cambria" panose="02040503050406030204" pitchFamily="18" charset="0"/>
              <a:ea typeface="Cambria" panose="02040503050406030204" pitchFamily="18" charset="0"/>
            </a:rPr>
            <a:t>Total Equipment Purchased</a:t>
          </a:r>
        </a:p>
        <a:p>
          <a:pPr algn="ctr"/>
          <a:r>
            <a:rPr lang="en-GB" sz="1400" b="1" i="0" u="none" strike="noStrike">
              <a:solidFill>
                <a:schemeClr val="tx1"/>
              </a:solidFill>
              <a:effectLst/>
              <a:latin typeface="Cambria" panose="02040503050406030204" pitchFamily="18" charset="0"/>
              <a:ea typeface="Cambria" panose="02040503050406030204" pitchFamily="18" charset="0"/>
              <a:cs typeface="+mn-cs"/>
            </a:rPr>
            <a:t>612</a:t>
          </a:r>
          <a:endParaRPr lang="en-GB" sz="1400" b="1">
            <a:solidFill>
              <a:schemeClr val="tx1"/>
            </a:solidFill>
            <a:latin typeface="Cambria" panose="02040503050406030204" pitchFamily="18" charset="0"/>
            <a:ea typeface="Cambria" panose="02040503050406030204" pitchFamily="18" charset="0"/>
          </a:endParaRPr>
        </a:p>
      </xdr:txBody>
    </xdr:sp>
    <xdr:clientData/>
  </xdr:twoCellAnchor>
  <xdr:twoCellAnchor>
    <xdr:from>
      <xdr:col>23</xdr:col>
      <xdr:colOff>369095</xdr:colOff>
      <xdr:row>7</xdr:row>
      <xdr:rowOff>130969</xdr:rowOff>
    </xdr:from>
    <xdr:to>
      <xdr:col>30</xdr:col>
      <xdr:colOff>345281</xdr:colOff>
      <xdr:row>42</xdr:row>
      <xdr:rowOff>119062</xdr:rowOff>
    </xdr:to>
    <xdr:sp macro="" textlink="">
      <xdr:nvSpPr>
        <xdr:cNvPr id="33" name="TextBox 32"/>
        <xdr:cNvSpPr txBox="1"/>
      </xdr:nvSpPr>
      <xdr:spPr>
        <a:xfrm>
          <a:off x="14335126" y="1381125"/>
          <a:ext cx="4226718" cy="6238875"/>
        </a:xfrm>
        <a:prstGeom prst="rect">
          <a:avLst/>
        </a:prstGeom>
        <a:noFill/>
        <a:ln w="9525" cmpd="sng">
          <a:solidFill>
            <a:schemeClr val="accent1"/>
          </a:solid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bg2">
                  <a:lumMod val="10000"/>
                </a:schemeClr>
              </a:solidFill>
              <a:latin typeface="Cambria" panose="02040503050406030204" pitchFamily="18" charset="0"/>
              <a:ea typeface="Cambria" panose="02040503050406030204" pitchFamily="18" charset="0"/>
            </a:rPr>
            <a:t>Insights</a:t>
          </a:r>
        </a:p>
        <a:p>
          <a:endParaRPr lang="en-GB" sz="1100"/>
        </a:p>
        <a:p>
          <a:r>
            <a:rPr lang="en-GB" sz="1200" b="1">
              <a:latin typeface="Cambria" panose="02040503050406030204" pitchFamily="18" charset="0"/>
              <a:ea typeface="Cambria" panose="02040503050406030204" pitchFamily="18" charset="0"/>
            </a:rPr>
            <a:t>1</a:t>
          </a:r>
          <a:r>
            <a:rPr lang="en-GB" sz="1200">
              <a:latin typeface="Cambria" panose="02040503050406030204" pitchFamily="18" charset="0"/>
              <a:ea typeface="Cambria" panose="02040503050406030204" pitchFamily="18" charset="0"/>
            </a:rPr>
            <a:t>. A few hospitals account for the highest procurement spending.</a:t>
          </a:r>
        </a:p>
        <a:p>
          <a:endParaRPr lang="en-GB" sz="1200">
            <a:latin typeface="Cambria" panose="02040503050406030204" pitchFamily="18" charset="0"/>
            <a:ea typeface="Cambria" panose="02040503050406030204" pitchFamily="18" charset="0"/>
          </a:endParaRPr>
        </a:p>
        <a:p>
          <a:r>
            <a:rPr lang="en-GB" sz="1200" b="1">
              <a:latin typeface="Cambria" panose="02040503050406030204" pitchFamily="18" charset="0"/>
              <a:ea typeface="Cambria" panose="02040503050406030204" pitchFamily="18" charset="0"/>
            </a:rPr>
            <a:t>2</a:t>
          </a:r>
          <a:r>
            <a:rPr lang="en-GB" sz="1200">
              <a:latin typeface="Cambria" panose="02040503050406030204" pitchFamily="18" charset="0"/>
              <a:ea typeface="Cambria" panose="02040503050406030204" pitchFamily="18" charset="0"/>
            </a:rPr>
            <a:t>. New equipment has the highest installation costs.</a:t>
          </a:r>
        </a:p>
        <a:p>
          <a:endParaRPr lang="en-GB" sz="1200">
            <a:latin typeface="Cambria" panose="02040503050406030204" pitchFamily="18" charset="0"/>
            <a:ea typeface="Cambria" panose="02040503050406030204" pitchFamily="18" charset="0"/>
          </a:endParaRPr>
        </a:p>
        <a:p>
          <a:r>
            <a:rPr lang="en-GB" sz="1200" b="1">
              <a:latin typeface="Cambria" panose="02040503050406030204" pitchFamily="18" charset="0"/>
              <a:ea typeface="Cambria" panose="02040503050406030204" pitchFamily="18" charset="0"/>
            </a:rPr>
            <a:t>3</a:t>
          </a:r>
          <a:r>
            <a:rPr lang="en-GB" sz="1200">
              <a:latin typeface="Cambria" panose="02040503050406030204" pitchFamily="18" charset="0"/>
              <a:ea typeface="Cambria" panose="02040503050406030204" pitchFamily="18" charset="0"/>
            </a:rPr>
            <a:t>. Maintenance costs differ significantly across equipment types.</a:t>
          </a:r>
        </a:p>
        <a:p>
          <a:endParaRPr lang="en-GB" sz="1200">
            <a:latin typeface="Cambria" panose="02040503050406030204" pitchFamily="18" charset="0"/>
            <a:ea typeface="Cambria" panose="02040503050406030204" pitchFamily="18" charset="0"/>
          </a:endParaRPr>
        </a:p>
        <a:p>
          <a:r>
            <a:rPr lang="en-GB" sz="1200" b="1">
              <a:latin typeface="Cambria" panose="02040503050406030204" pitchFamily="18" charset="0"/>
              <a:ea typeface="Cambria" panose="02040503050406030204" pitchFamily="18" charset="0"/>
            </a:rPr>
            <a:t>4</a:t>
          </a:r>
          <a:r>
            <a:rPr lang="en-GB" sz="1200">
              <a:latin typeface="Cambria" panose="02040503050406030204" pitchFamily="18" charset="0"/>
              <a:ea typeface="Cambria" panose="02040503050406030204" pitchFamily="18" charset="0"/>
            </a:rPr>
            <a:t>. Supplier delivery times vary across vendors.</a:t>
          </a:r>
        </a:p>
        <a:p>
          <a:endParaRPr lang="en-GB" sz="1200"/>
        </a:p>
        <a:p>
          <a:r>
            <a:rPr lang="en-GB" sz="1200" b="1">
              <a:latin typeface="Cambria" panose="02040503050406030204" pitchFamily="18" charset="0"/>
              <a:ea typeface="Cambria" panose="02040503050406030204" pitchFamily="18" charset="0"/>
            </a:rPr>
            <a:t>5</a:t>
          </a:r>
          <a:r>
            <a:rPr lang="en-GB" sz="1200">
              <a:latin typeface="Cambria" panose="02040503050406030204" pitchFamily="18" charset="0"/>
              <a:ea typeface="Cambria" panose="02040503050406030204" pitchFamily="18" charset="0"/>
            </a:rPr>
            <a:t>. Equipment is sourced from multiple countries, showing supplier diversity.</a:t>
          </a:r>
        </a:p>
        <a:p>
          <a:endParaRPr lang="en-GB" sz="1100"/>
        </a:p>
        <a:p>
          <a:endParaRPr lang="en-GB" sz="1100"/>
        </a:p>
        <a:p>
          <a:endParaRPr lang="en-GB" sz="1100"/>
        </a:p>
        <a:p>
          <a:pPr algn="ctr"/>
          <a:r>
            <a:rPr lang="en-GB" sz="1600" b="1">
              <a:solidFill>
                <a:schemeClr val="bg2">
                  <a:lumMod val="10000"/>
                </a:schemeClr>
              </a:solidFill>
              <a:latin typeface="Cambria" panose="02040503050406030204" pitchFamily="18" charset="0"/>
              <a:ea typeface="Cambria" panose="02040503050406030204" pitchFamily="18" charset="0"/>
            </a:rPr>
            <a:t>Recommendations</a:t>
          </a:r>
        </a:p>
        <a:p>
          <a:endParaRPr lang="en-GB" sz="1100"/>
        </a:p>
        <a:p>
          <a:r>
            <a:rPr lang="en-GB" sz="1200" b="1">
              <a:solidFill>
                <a:schemeClr val="bg2">
                  <a:lumMod val="10000"/>
                </a:schemeClr>
              </a:solidFill>
              <a:latin typeface="Cambria" panose="02040503050406030204" pitchFamily="18" charset="0"/>
              <a:ea typeface="Cambria" panose="02040503050406030204" pitchFamily="18" charset="0"/>
            </a:rPr>
            <a:t>1</a:t>
          </a:r>
          <a:r>
            <a:rPr lang="en-GB" sz="1200">
              <a:solidFill>
                <a:schemeClr val="bg2">
                  <a:lumMod val="10000"/>
                </a:schemeClr>
              </a:solidFill>
              <a:latin typeface="Cambria" panose="02040503050406030204" pitchFamily="18" charset="0"/>
              <a:ea typeface="Cambria" panose="02040503050406030204" pitchFamily="18" charset="0"/>
            </a:rPr>
            <a:t>. Monitor high-spending hospitals to optimize procurement costs.</a:t>
          </a:r>
        </a:p>
        <a:p>
          <a:endParaRPr lang="en-GB" sz="1200">
            <a:solidFill>
              <a:schemeClr val="bg2">
                <a:lumMod val="10000"/>
              </a:schemeClr>
            </a:solidFill>
            <a:latin typeface="Cambria" panose="02040503050406030204" pitchFamily="18" charset="0"/>
            <a:ea typeface="Cambria" panose="02040503050406030204" pitchFamily="18" charset="0"/>
          </a:endParaRPr>
        </a:p>
        <a:p>
          <a:r>
            <a:rPr lang="en-GB" sz="1200" b="1">
              <a:solidFill>
                <a:schemeClr val="bg2">
                  <a:lumMod val="10000"/>
                </a:schemeClr>
              </a:solidFill>
              <a:latin typeface="Cambria" panose="02040503050406030204" pitchFamily="18" charset="0"/>
              <a:ea typeface="Cambria" panose="02040503050406030204" pitchFamily="18" charset="0"/>
            </a:rPr>
            <a:t>2</a:t>
          </a:r>
          <a:r>
            <a:rPr lang="en-GB" sz="1200">
              <a:solidFill>
                <a:schemeClr val="bg2">
                  <a:lumMod val="10000"/>
                </a:schemeClr>
              </a:solidFill>
              <a:latin typeface="Cambria" panose="02040503050406030204" pitchFamily="18" charset="0"/>
              <a:ea typeface="Cambria" panose="02040503050406030204" pitchFamily="18" charset="0"/>
            </a:rPr>
            <a:t>. Budget for installation costs when purchasing new equipment.</a:t>
          </a:r>
        </a:p>
        <a:p>
          <a:endParaRPr lang="en-GB" sz="1200">
            <a:solidFill>
              <a:schemeClr val="bg2">
                <a:lumMod val="10000"/>
              </a:schemeClr>
            </a:solidFill>
            <a:latin typeface="Cambria" panose="02040503050406030204" pitchFamily="18" charset="0"/>
            <a:ea typeface="Cambria" panose="02040503050406030204" pitchFamily="18" charset="0"/>
          </a:endParaRPr>
        </a:p>
        <a:p>
          <a:r>
            <a:rPr lang="en-GB" sz="1200" b="1">
              <a:solidFill>
                <a:schemeClr val="bg2">
                  <a:lumMod val="10000"/>
                </a:schemeClr>
              </a:solidFill>
              <a:latin typeface="Cambria" panose="02040503050406030204" pitchFamily="18" charset="0"/>
              <a:ea typeface="Cambria" panose="02040503050406030204" pitchFamily="18" charset="0"/>
            </a:rPr>
            <a:t>3</a:t>
          </a:r>
          <a:r>
            <a:rPr lang="en-GB" sz="1200">
              <a:solidFill>
                <a:schemeClr val="bg2">
                  <a:lumMod val="10000"/>
                </a:schemeClr>
              </a:solidFill>
              <a:latin typeface="Cambria" panose="02040503050406030204" pitchFamily="18" charset="0"/>
              <a:ea typeface="Cambria" panose="02040503050406030204" pitchFamily="18" charset="0"/>
            </a:rPr>
            <a:t>. Focus maintenance efforts on high-cost equipment.</a:t>
          </a:r>
        </a:p>
        <a:p>
          <a:endParaRPr lang="en-GB" sz="1200">
            <a:solidFill>
              <a:schemeClr val="bg2">
                <a:lumMod val="10000"/>
              </a:schemeClr>
            </a:solidFill>
            <a:latin typeface="Cambria" panose="02040503050406030204" pitchFamily="18" charset="0"/>
            <a:ea typeface="Cambria" panose="02040503050406030204" pitchFamily="18" charset="0"/>
          </a:endParaRPr>
        </a:p>
        <a:p>
          <a:r>
            <a:rPr lang="en-GB" sz="1200" b="1">
              <a:solidFill>
                <a:schemeClr val="bg2">
                  <a:lumMod val="10000"/>
                </a:schemeClr>
              </a:solidFill>
              <a:latin typeface="Cambria" panose="02040503050406030204" pitchFamily="18" charset="0"/>
              <a:ea typeface="Cambria" panose="02040503050406030204" pitchFamily="18" charset="0"/>
            </a:rPr>
            <a:t>4</a:t>
          </a:r>
          <a:r>
            <a:rPr lang="en-GB" sz="1200">
              <a:solidFill>
                <a:schemeClr val="bg2">
                  <a:lumMod val="10000"/>
                </a:schemeClr>
              </a:solidFill>
              <a:latin typeface="Cambria" panose="02040503050406030204" pitchFamily="18" charset="0"/>
              <a:ea typeface="Cambria" panose="02040503050406030204" pitchFamily="18" charset="0"/>
            </a:rPr>
            <a:t>. Partner with suppliers that have better delivery performance.</a:t>
          </a:r>
        </a:p>
        <a:p>
          <a:endParaRPr lang="en-GB" sz="1200">
            <a:solidFill>
              <a:schemeClr val="bg2">
                <a:lumMod val="10000"/>
              </a:schemeClr>
            </a:solidFill>
            <a:latin typeface="Cambria" panose="02040503050406030204" pitchFamily="18" charset="0"/>
            <a:ea typeface="Cambria" panose="02040503050406030204" pitchFamily="18" charset="0"/>
          </a:endParaRPr>
        </a:p>
        <a:p>
          <a:r>
            <a:rPr lang="en-GB" sz="1200" b="1">
              <a:solidFill>
                <a:schemeClr val="bg2">
                  <a:lumMod val="10000"/>
                </a:schemeClr>
              </a:solidFill>
              <a:latin typeface="Cambria" panose="02040503050406030204" pitchFamily="18" charset="0"/>
              <a:ea typeface="Cambria" panose="02040503050406030204" pitchFamily="18" charset="0"/>
            </a:rPr>
            <a:t>5</a:t>
          </a:r>
          <a:r>
            <a:rPr lang="en-GB" sz="1200">
              <a:solidFill>
                <a:schemeClr val="bg2">
                  <a:lumMod val="10000"/>
                </a:schemeClr>
              </a:solidFill>
              <a:latin typeface="Cambria" panose="02040503050406030204" pitchFamily="18" charset="0"/>
              <a:ea typeface="Cambria" panose="02040503050406030204" pitchFamily="18" charset="0"/>
            </a:rPr>
            <a:t>. Maintain a diverse supplier network to reduce supply risks.</a:t>
          </a:r>
        </a:p>
      </xdr:txBody>
    </xdr:sp>
    <xdr:clientData/>
  </xdr:twoCellAnchor>
  <xdr:twoCellAnchor editAs="oneCell">
    <xdr:from>
      <xdr:col>0</xdr:col>
      <xdr:colOff>440531</xdr:colOff>
      <xdr:row>0</xdr:row>
      <xdr:rowOff>71437</xdr:rowOff>
    </xdr:from>
    <xdr:to>
      <xdr:col>1</xdr:col>
      <xdr:colOff>285750</xdr:colOff>
      <xdr:row>2</xdr:row>
      <xdr:rowOff>166687</xdr:rowOff>
    </xdr:to>
    <xdr:pic>
      <xdr:nvPicPr>
        <xdr:cNvPr id="34" name="Picture 33"/>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40531" y="71437"/>
          <a:ext cx="452438" cy="452438"/>
        </a:xfrm>
        <a:prstGeom prst="rect">
          <a:avLst/>
        </a:prstGeom>
      </xdr:spPr>
    </xdr:pic>
    <xdr:clientData/>
  </xdr:twoCellAnchor>
  <xdr:twoCellAnchor editAs="oneCell">
    <xdr:from>
      <xdr:col>15</xdr:col>
      <xdr:colOff>392907</xdr:colOff>
      <xdr:row>26</xdr:row>
      <xdr:rowOff>35718</xdr:rowOff>
    </xdr:from>
    <xdr:to>
      <xdr:col>16</xdr:col>
      <xdr:colOff>166479</xdr:colOff>
      <xdr:row>28</xdr:row>
      <xdr:rowOff>59322</xdr:rowOff>
    </xdr:to>
    <xdr:pic>
      <xdr:nvPicPr>
        <xdr:cNvPr id="36" name="Picture 35"/>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501188" y="4679156"/>
          <a:ext cx="380791" cy="380791"/>
        </a:xfrm>
        <a:prstGeom prst="rect">
          <a:avLst/>
        </a:prstGeom>
      </xdr:spPr>
    </xdr:pic>
    <xdr:clientData/>
  </xdr:twoCellAnchor>
  <xdr:twoCellAnchor editAs="oneCell">
    <xdr:from>
      <xdr:col>10</xdr:col>
      <xdr:colOff>166689</xdr:colOff>
      <xdr:row>8</xdr:row>
      <xdr:rowOff>130971</xdr:rowOff>
    </xdr:from>
    <xdr:to>
      <xdr:col>10</xdr:col>
      <xdr:colOff>500063</xdr:colOff>
      <xdr:row>10</xdr:row>
      <xdr:rowOff>107157</xdr:rowOff>
    </xdr:to>
    <xdr:pic>
      <xdr:nvPicPr>
        <xdr:cNvPr id="37" name="Picture 36"/>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238877" y="1559721"/>
          <a:ext cx="333374" cy="333374"/>
        </a:xfrm>
        <a:prstGeom prst="rect">
          <a:avLst/>
        </a:prstGeom>
      </xdr:spPr>
    </xdr:pic>
    <xdr:clientData/>
  </xdr:twoCellAnchor>
  <xdr:twoCellAnchor editAs="oneCell">
    <xdr:from>
      <xdr:col>5</xdr:col>
      <xdr:colOff>128588</xdr:colOff>
      <xdr:row>27</xdr:row>
      <xdr:rowOff>57150</xdr:rowOff>
    </xdr:from>
    <xdr:to>
      <xdr:col>5</xdr:col>
      <xdr:colOff>509379</xdr:colOff>
      <xdr:row>29</xdr:row>
      <xdr:rowOff>80753</xdr:rowOff>
    </xdr:to>
    <xdr:pic>
      <xdr:nvPicPr>
        <xdr:cNvPr id="38" name="Picture 37"/>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164682" y="4879181"/>
          <a:ext cx="380791" cy="380791"/>
        </a:xfrm>
        <a:prstGeom prst="rect">
          <a:avLst/>
        </a:prstGeom>
      </xdr:spPr>
    </xdr:pic>
    <xdr:clientData/>
  </xdr:twoCellAnchor>
  <xdr:twoCellAnchor editAs="oneCell">
    <xdr:from>
      <xdr:col>5</xdr:col>
      <xdr:colOff>54770</xdr:colOff>
      <xdr:row>9</xdr:row>
      <xdr:rowOff>78581</xdr:rowOff>
    </xdr:from>
    <xdr:to>
      <xdr:col>5</xdr:col>
      <xdr:colOff>435561</xdr:colOff>
      <xdr:row>11</xdr:row>
      <xdr:rowOff>102185</xdr:rowOff>
    </xdr:to>
    <xdr:pic>
      <xdr:nvPicPr>
        <xdr:cNvPr id="39" name="Picture 38"/>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090864" y="1685925"/>
          <a:ext cx="380791" cy="380791"/>
        </a:xfrm>
        <a:prstGeom prst="rect">
          <a:avLst/>
        </a:prstGeom>
      </xdr:spPr>
    </xdr:pic>
    <xdr:clientData/>
  </xdr:twoCellAnchor>
  <xdr:twoCellAnchor editAs="oneCell">
    <xdr:from>
      <xdr:col>17</xdr:col>
      <xdr:colOff>595312</xdr:colOff>
      <xdr:row>0</xdr:row>
      <xdr:rowOff>69533</xdr:rowOff>
    </xdr:from>
    <xdr:to>
      <xdr:col>23</xdr:col>
      <xdr:colOff>261938</xdr:colOff>
      <xdr:row>7</xdr:row>
      <xdr:rowOff>47624</xdr:rowOff>
    </xdr:to>
    <mc:AlternateContent xmlns:mc="http://schemas.openxmlformats.org/markup-compatibility/2006" xmlns:a14="http://schemas.microsoft.com/office/drawing/2010/main">
      <mc:Choice Requires="a14">
        <xdr:graphicFrame macro="">
          <xdr:nvGraphicFramePr>
            <xdr:cNvPr id="40" name="Hospital"/>
            <xdr:cNvGraphicFramePr/>
          </xdr:nvGraphicFramePr>
          <xdr:xfrm>
            <a:off x="0" y="0"/>
            <a:ext cx="0" cy="0"/>
          </xdr:xfrm>
          <a:graphic>
            <a:graphicData uri="http://schemas.microsoft.com/office/drawing/2010/slicer">
              <sle:slicer xmlns:sle="http://schemas.microsoft.com/office/drawing/2010/slicer" name="Hospital"/>
            </a:graphicData>
          </a:graphic>
        </xdr:graphicFrame>
      </mc:Choice>
      <mc:Fallback xmlns="">
        <xdr:sp macro="" textlink="">
          <xdr:nvSpPr>
            <xdr:cNvPr id="0" name=""/>
            <xdr:cNvSpPr>
              <a:spLocks noTextEdit="1"/>
            </xdr:cNvSpPr>
          </xdr:nvSpPr>
          <xdr:spPr>
            <a:xfrm>
              <a:off x="10977563" y="69533"/>
              <a:ext cx="3250406" cy="12282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294799</xdr:colOff>
      <xdr:row>0</xdr:row>
      <xdr:rowOff>81440</xdr:rowOff>
    </xdr:from>
    <xdr:to>
      <xdr:col>30</xdr:col>
      <xdr:colOff>357187</xdr:colOff>
      <xdr:row>7</xdr:row>
      <xdr:rowOff>23813</xdr:rowOff>
    </xdr:to>
    <mc:AlternateContent xmlns:mc="http://schemas.openxmlformats.org/markup-compatibility/2006" xmlns:a14="http://schemas.microsoft.com/office/drawing/2010/main">
      <mc:Choice Requires="a14">
        <xdr:graphicFrame macro="">
          <xdr:nvGraphicFramePr>
            <xdr:cNvPr id="41" name="Supplie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14260830" y="81440"/>
              <a:ext cx="4312920" cy="11925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59531</xdr:colOff>
      <xdr:row>8</xdr:row>
      <xdr:rowOff>107156</xdr:rowOff>
    </xdr:from>
    <xdr:to>
      <xdr:col>16</xdr:col>
      <xdr:colOff>424339</xdr:colOff>
      <xdr:row>24</xdr:row>
      <xdr:rowOff>107156</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HP" refreshedDate="46225.033651851852" backgroundQuery="1" createdVersion="5" refreshedVersion="5" minRefreshableVersion="3" recordCount="0" supportSubquery="1" supportAdvancedDrill="1">
  <cacheSource type="external" connectionId="1"/>
  <cacheFields count="1">
    <cacheField name="[Measures].[Sum of Total Procurement Cost]" caption="Sum of Total Procurement Cost" numFmtId="0" hierarchy="24" level="32767"/>
  </cacheFields>
  <cacheHierarchies count="38">
    <cacheHierarchy uniqueName="[Table1].[Serial No]" caption="Serial No" attribute="1" defaultMemberUniqueName="[Table1].[Serial No].[All]" allUniqueName="[Table1].[Serial No].[All]" dimensionUniqueName="[Table1]" displayFolder="" count="0" memberValueDatatype="20" unbalanced="0"/>
    <cacheHierarchy uniqueName="[Table1].[Hospital]" caption="Hospital" attribute="1" defaultMemberUniqueName="[Table1].[Hospital].[All]" allUniqueName="[Table1].[Hospital].[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quipment]" caption="Equipment" attribute="1" defaultMemberUniqueName="[Table1].[Equipment].[All]" allUniqueName="[Table1].[Equipmen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USD)]" caption="Unit Price (USD)" attribute="1" defaultMemberUniqueName="[Table1].[Unit Price (USD)].[All]" allUniqueName="[Table1].[Unit Price (USD)].[All]" dimensionUniqueName="[Table1]" displayFolder="" count="0" memberValueDatatype="20" unbalanced="0"/>
    <cacheHierarchy uniqueName="[Table1].[Supplier]" caption="Supplier" attribute="1" defaultMemberUniqueName="[Table1].[Supplier].[All]" allUniqueName="[Table1].[Supplier].[All]" dimensionUniqueName="[Table1]" displayFolder="" count="0" memberValueDatatype="130" unbalanced="0"/>
    <cacheHierarchy uniqueName="[Table1].[Supplier Contact]" caption="Supplier Contact" attribute="1" defaultMemberUniqueName="[Table1].[Supplier Contact].[All]" allUniqueName="[Table1].[Supplier Contact].[All]" dimensionUniqueName="[Table1]" displayFolder="" count="0" memberValueDatatype="130" unbalanced="0"/>
    <cacheHierarchy uniqueName="[Table1].[Supplier Phone]" caption="Supplier Phone" attribute="1" defaultMemberUniqueName="[Table1].[Supplier Phone].[All]" allUniqueName="[Table1].[Supplier Phone].[All]" dimensionUniqueName="[Table1]" displayFolder="" count="0" memberValueDatatype="5" unbalanced="0"/>
    <cacheHierarchy uniqueName="[Table1].[Supplier Email]" caption="Supplier Email" attribute="1" defaultMemberUniqueName="[Table1].[Supplier Email].[All]" allUniqueName="[Table1].[Supplier Email].[All]" dimensionUniqueName="[Table1]" displayFolder="" count="0" memberValueDatatype="130" unbalanced="0"/>
    <cacheHierarchy uniqueName="[Table1].[Supplier Country]" caption="Supplier Country" attribute="1" defaultMemberUniqueName="[Table1].[Supplier Country].[All]" allUniqueName="[Table1].[Supplier Country].[All]" dimensionUniqueName="[Table1]" displayFolder="" count="0" memberValueDatatype="130" unbalanced="0"/>
    <cacheHierarchy uniqueName="[Table1].[Date Ordered]" caption="Date Ordered" attribute="1" time="1" defaultMemberUniqueName="[Table1].[Date Ordered].[All]" allUniqueName="[Table1].[Date Ordered].[All]" dimensionUniqueName="[Table1]" displayFolder="" count="0" memberValueDatatype="7" unbalanced="0"/>
    <cacheHierarchy uniqueName="[Table1].[Date Delivered]" caption="Date Delivered" attribute="1" time="1" defaultMemberUniqueName="[Table1].[Date Delivered].[All]" allUniqueName="[Table1].[Date Delivered].[All]" dimensionUniqueName="[Table1]" displayFolder="" count="0" memberValueDatatype="7"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Warranty Period (Months)]" caption="Warranty Period (Months)" attribute="1" defaultMemberUniqueName="[Table1].[Warranty Period (Months)].[All]" allUniqueName="[Table1].[Warranty Period (Months)].[All]" dimensionUniqueName="[Table1]" displayFolder="" count="0" memberValueDatatype="20" unbalanced="0"/>
    <cacheHierarchy uniqueName="[Table1].[Maintenance Cost (USD/year)]" caption="Maintenance Cost (USD/year)" attribute="1" defaultMemberUniqueName="[Table1].[Maintenance Cost (USD/year)].[All]" allUniqueName="[Table1].[Maintenance Cost (USD/year)].[All]" dimensionUniqueName="[Table1]" displayFolder="" count="0" memberValueDatatype="20" unbalanced="0"/>
    <cacheHierarchy uniqueName="[Table1].[Installation Cost (USD)]" caption="Installation Cost (USD)" attribute="1" defaultMemberUniqueName="[Table1].[Installation Cost (USD)].[All]" allUniqueName="[Table1].[Installation Cost (USD)].[All]" dimensionUniqueName="[Table1]" displayFolder="" count="0" memberValueDatatype="20" unbalanced="0"/>
    <cacheHierarchy uniqueName="[Table1].[Total Procurement Cost]" caption="Total Procurement Cost" attribute="1" defaultMemberUniqueName="[Table1].[Total Procurement Cost].[All]" allUniqueName="[Table1].[Total Procuremen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Equipment Condition]" caption="Equipment Condition" attribute="1" defaultMemberUniqueName="[Table1].[Equipment Condition].[All]" allUniqueName="[Table1].[Equipment Condition].[All]" dimensionUniqueName="[Table1]" displayFolder="" count="0" memberValueDatatype="130" unbalanced="0"/>
    <cacheHierarchy uniqueName="[Table1].[Deliver Status]" caption="Deliver Status" attribute="1" defaultMemberUniqueName="[Table1].[Deliver Status].[All]" allUniqueName="[Table1].[Deliver Status].[All]" dimensionUniqueName="[Table1]" displayFolder="" count="0" memberValueDatatype="130" unbalanced="0"/>
    <cacheHierarchy uniqueName="[Table1].[Warranty Category]" caption="Warranty Category" attribute="1" defaultMemberUniqueName="[Table1].[Warranty Category].[All]" allUniqueName="[Table1].[Warranty Category].[All]" dimensionUniqueName="[Table1]" displayFolder="" count="0" memberValueDatatype="130" unbalanced="0"/>
    <cacheHierarchy uniqueName="[Measures].[Sum of Total Procurement Cost]" caption="Sum of Total Procurement Cost" measure="1" displayFolder="" measureGroup="Table1" count="0" oneField="1">
      <fieldsUsage count="1">
        <fieldUsage x="0"/>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6"/>
        </ext>
      </extLst>
    </cacheHierarchy>
    <cacheHierarchy uniqueName="[Measures].[Count of Hospital]" caption="Count of Hospital" measure="1" displayFolder="" measureGroup="Table1" count="0">
      <extLst>
        <ext xmlns:x15="http://schemas.microsoft.com/office/spreadsheetml/2010/11/main" uri="{B97F6D7D-B522-45F9-BDA1-12C45D357490}">
          <x15:cacheHierarchy aggregatedColumn="1"/>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8"/>
        </ext>
      </extLst>
    </cacheHierarchy>
    <cacheHierarchy uniqueName="[Measures].[Sum of Maintenance Cost (USDyear)]" caption="Sum of Maintenance Cost (USDyear)" measure="1" displayFolder="" measureGroup="Table1" count="0">
      <extLst>
        <ext xmlns:x15="http://schemas.microsoft.com/office/spreadsheetml/2010/11/main" uri="{B97F6D7D-B522-45F9-BDA1-12C45D357490}">
          <x15:cacheHierarchy aggregatedColumn="17"/>
        </ext>
      </extLst>
    </cacheHierarchy>
    <cacheHierarchy uniqueName="[Measures].[Sum of Installation Cost (USD)]" caption="Sum of Installation Cost (USD)" measure="1" displayFolder="" measureGroup="Table1" count="0">
      <extLst>
        <ext xmlns:x15="http://schemas.microsoft.com/office/spreadsheetml/2010/11/main" uri="{B97F6D7D-B522-45F9-BDA1-12C45D357490}">
          <x15:cacheHierarchy aggregatedColumn="18"/>
        </ext>
      </extLst>
    </cacheHierarchy>
    <cacheHierarchy uniqueName="[Measures].[Sum of Warranty Period (Months)]" caption="Sum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Average of Warranty Period (Months)]" caption="Average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Count of Equipment]" caption="Count of Equipment" measure="1" displayFolder="" measureGroup="Table1" count="0">
      <extLst>
        <ext xmlns:x15="http://schemas.microsoft.com/office/spreadsheetml/2010/11/main" uri="{B97F6D7D-B522-45F9-BDA1-12C45D357490}">
          <x15:cacheHierarchy aggregatedColumn="5"/>
        </ext>
      </extLst>
    </cacheHierarchy>
    <cacheHierarchy uniqueName="[Measures].[Sum of Delivery Days]" caption="Sum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Delivery Days]" caption="Average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Installation Cost (USD)]" caption="Average of Installation Cost (USD)" measure="1" displayFolder="" measureGroup="Table1" count="0">
      <extLst>
        <ext xmlns:x15="http://schemas.microsoft.com/office/spreadsheetml/2010/11/main" uri="{B97F6D7D-B522-45F9-BDA1-12C45D357490}">
          <x15:cacheHierarchy aggregatedColumn="18"/>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P" refreshedDate="46225.033656597225" backgroundQuery="1" createdVersion="5" refreshedVersion="5" minRefreshableVersion="3" recordCount="0" supportSubquery="1" supportAdvancedDrill="1">
  <cacheSource type="external" connectionId="1"/>
  <cacheFields count="3">
    <cacheField name="[Table1].[Hospital].[Hospital]" caption="Hospital" numFmtId="0" hierarchy="1" level="1">
      <sharedItems count="15">
        <s v=" Abeokuta General Hospital"/>
        <s v=" Bauchi National Hospital"/>
        <s v=" Benin City General Hospital"/>
        <s v=" Dutse General Hospital"/>
        <s v=" Egbe Specialist"/>
        <s v=" Gusau General Hospital"/>
        <s v=" Ifo Medical"/>
        <s v=" Iragbiji Hospital"/>
        <s v=" Kaduna National Hospital"/>
        <s v=" Keffi Federal Medical Center"/>
        <s v=" Makurdi General Hospital"/>
        <s v=" Minna Federal Medical Center"/>
        <s v=" Port Harcourt General"/>
        <s v=" Umuahia General Hospital"/>
        <s v=" Yenagoa Medical Center"/>
      </sharedItems>
    </cacheField>
    <cacheField name="[Table1].[Equipment].[Equipment]" caption="Equipment" numFmtId="0" hierarchy="5" level="1">
      <sharedItems count="16">
        <s v=" Anesthesia Machine"/>
        <s v=" C-arm Fluoroscopy"/>
        <s v=" CT Scanner"/>
        <s v=" Defibrillator"/>
        <s v=" Echocardiogram"/>
        <s v=" Infant Incubator"/>
        <s v=" Infant Warmers"/>
        <s v=" MRI Machine"/>
        <s v=" Neuroendoscope"/>
        <s v=" Operating Table"/>
        <s v=" Phototherapy Unit"/>
        <s v=" Radiation Machine"/>
        <s v=" Ultrasound Machine"/>
        <s v=" Ventilator"/>
        <s v=" X-ray Machine"/>
        <s v=" Cast Cutter" u="1"/>
      </sharedItems>
    </cacheField>
    <cacheField name="[Measures].[Sum of Maintenance Cost (USDyear)]" caption="Sum of Maintenance Cost (USDyear)" numFmtId="0" hierarchy="28" level="32767"/>
  </cacheFields>
  <cacheHierarchies count="38">
    <cacheHierarchy uniqueName="[Table1].[Serial No]" caption="Serial No" attribute="1" defaultMemberUniqueName="[Table1].[Serial No].[All]" allUniqueName="[Table1].[Serial No].[All]" dimensionUniqueName="[Table1]" displayFolder="" count="0" memberValueDatatype="20" unbalanced="0"/>
    <cacheHierarchy uniqueName="[Table1].[Hospital]" caption="Hospital" attribute="1" defaultMemberUniqueName="[Table1].[Hospital].[All]" allUniqueName="[Table1].[Hospital].[All]" dimensionUniqueName="[Table1]" displayFolder="" count="2" memberValueDatatype="130" unbalanced="0">
      <fieldsUsage count="2">
        <fieldUsage x="-1"/>
        <fieldUsage x="0"/>
      </fieldsUsage>
    </cacheHierarchy>
    <cacheHierarchy uniqueName="[Table1].[State]" caption="State" attribute="1" defaultMemberUniqueName="[Table1].[State].[All]" allUniqueName="[Table1].[Stat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quipment]" caption="Equipment" attribute="1" defaultMemberUniqueName="[Table1].[Equipment].[All]" allUniqueName="[Table1].[Equipment].[All]" dimensionUniqueName="[Table1]" displayFolder="" count="2" memberValueDatatype="130" unbalanced="0">
      <fieldsUsage count="2">
        <fieldUsage x="-1"/>
        <fieldUsage x="1"/>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 Price (USD)]" caption="Unit Price (USD)" attribute="1" defaultMemberUniqueName="[Table1].[Unit Price (USD)].[All]" allUniqueName="[Table1].[Unit Price (USD)].[All]" dimensionUniqueName="[Table1]" displayFolder="" count="0" memberValueDatatype="20" unbalanced="0"/>
    <cacheHierarchy uniqueName="[Table1].[Supplier]" caption="Supplier" attribute="1" defaultMemberUniqueName="[Table1].[Supplier].[All]" allUniqueName="[Table1].[Supplier].[All]" dimensionUniqueName="[Table1]" displayFolder="" count="0" memberValueDatatype="130" unbalanced="0"/>
    <cacheHierarchy uniqueName="[Table1].[Supplier Contact]" caption="Supplier Contact" attribute="1" defaultMemberUniqueName="[Table1].[Supplier Contact].[All]" allUniqueName="[Table1].[Supplier Contact].[All]" dimensionUniqueName="[Table1]" displayFolder="" count="0" memberValueDatatype="130" unbalanced="0"/>
    <cacheHierarchy uniqueName="[Table1].[Supplier Phone]" caption="Supplier Phone" attribute="1" defaultMemberUniqueName="[Table1].[Supplier Phone].[All]" allUniqueName="[Table1].[Supplier Phone].[All]" dimensionUniqueName="[Table1]" displayFolder="" count="0" memberValueDatatype="5" unbalanced="0"/>
    <cacheHierarchy uniqueName="[Table1].[Supplier Email]" caption="Supplier Email" attribute="1" defaultMemberUniqueName="[Table1].[Supplier Email].[All]" allUniqueName="[Table1].[Supplier Email].[All]" dimensionUniqueName="[Table1]" displayFolder="" count="0" memberValueDatatype="130" unbalanced="0"/>
    <cacheHierarchy uniqueName="[Table1].[Supplier Country]" caption="Supplier Country" attribute="1" defaultMemberUniqueName="[Table1].[Supplier Country].[All]" allUniqueName="[Table1].[Supplier Country].[All]" dimensionUniqueName="[Table1]" displayFolder="" count="0" memberValueDatatype="130" unbalanced="0"/>
    <cacheHierarchy uniqueName="[Table1].[Date Ordered]" caption="Date Ordered" attribute="1" time="1" defaultMemberUniqueName="[Table1].[Date Ordered].[All]" allUniqueName="[Table1].[Date Ordered].[All]" dimensionUniqueName="[Table1]" displayFolder="" count="0" memberValueDatatype="7" unbalanced="0"/>
    <cacheHierarchy uniqueName="[Table1].[Date Delivered]" caption="Date Delivered" attribute="1" time="1" defaultMemberUniqueName="[Table1].[Date Delivered].[All]" allUniqueName="[Table1].[Date Delivered].[All]" dimensionUniqueName="[Table1]" displayFolder="" count="0" memberValueDatatype="7"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Warranty Period (Months)]" caption="Warranty Period (Months)" attribute="1" defaultMemberUniqueName="[Table1].[Warranty Period (Months)].[All]" allUniqueName="[Table1].[Warranty Period (Months)].[All]" dimensionUniqueName="[Table1]" displayFolder="" count="0" memberValueDatatype="20" unbalanced="0"/>
    <cacheHierarchy uniqueName="[Table1].[Maintenance Cost (USD/year)]" caption="Maintenance Cost (USD/year)" attribute="1" defaultMemberUniqueName="[Table1].[Maintenance Cost (USD/year)].[All]" allUniqueName="[Table1].[Maintenance Cost (USD/year)].[All]" dimensionUniqueName="[Table1]" displayFolder="" count="0" memberValueDatatype="20" unbalanced="0"/>
    <cacheHierarchy uniqueName="[Table1].[Installation Cost (USD)]" caption="Installation Cost (USD)" attribute="1" defaultMemberUniqueName="[Table1].[Installation Cost (USD)].[All]" allUniqueName="[Table1].[Installation Cost (USD)].[All]" dimensionUniqueName="[Table1]" displayFolder="" count="0" memberValueDatatype="20" unbalanced="0"/>
    <cacheHierarchy uniqueName="[Table1].[Total Procurement Cost]" caption="Total Procurement Cost" attribute="1" defaultMemberUniqueName="[Table1].[Total Procurement Cost].[All]" allUniqueName="[Table1].[Total Procuremen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Equipment Condition]" caption="Equipment Condition" attribute="1" defaultMemberUniqueName="[Table1].[Equipment Condition].[All]" allUniqueName="[Table1].[Equipment Condition].[All]" dimensionUniqueName="[Table1]" displayFolder="" count="0" memberValueDatatype="130" unbalanced="0"/>
    <cacheHierarchy uniqueName="[Table1].[Deliver Status]" caption="Deliver Status" attribute="1" defaultMemberUniqueName="[Table1].[Deliver Status].[All]" allUniqueName="[Table1].[Deliver Status].[All]" dimensionUniqueName="[Table1]" displayFolder="" count="0" memberValueDatatype="130" unbalanced="0"/>
    <cacheHierarchy uniqueName="[Table1].[Warranty Category]" caption="Warranty Category" attribute="1" defaultMemberUniqueName="[Table1].[Warranty Category].[All]" allUniqueName="[Table1].[Warranty Category].[All]" dimensionUniqueName="[Table1]" displayFolder="" count="0" memberValueDatatype="130" unbalanced="0"/>
    <cacheHierarchy uniqueName="[Measures].[Sum of Total Procurement Cost]" caption="Sum of Total Procurement Cos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6"/>
        </ext>
      </extLst>
    </cacheHierarchy>
    <cacheHierarchy uniqueName="[Measures].[Count of Hospital]" caption="Count of Hospital" measure="1" displayFolder="" measureGroup="Table1" count="0">
      <extLst>
        <ext xmlns:x15="http://schemas.microsoft.com/office/spreadsheetml/2010/11/main" uri="{B97F6D7D-B522-45F9-BDA1-12C45D357490}">
          <x15:cacheHierarchy aggregatedColumn="1"/>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8"/>
        </ext>
      </extLst>
    </cacheHierarchy>
    <cacheHierarchy uniqueName="[Measures].[Sum of Maintenance Cost (USDyear)]" caption="Sum of Maintenance Cost (USDyear)" measure="1" displayFolder="" measureGroup="Table1" count="0" oneField="1">
      <fieldsUsage count="1">
        <fieldUsage x="2"/>
      </fieldsUsage>
      <extLst>
        <ext xmlns:x15="http://schemas.microsoft.com/office/spreadsheetml/2010/11/main" uri="{B97F6D7D-B522-45F9-BDA1-12C45D357490}">
          <x15:cacheHierarchy aggregatedColumn="17"/>
        </ext>
      </extLst>
    </cacheHierarchy>
    <cacheHierarchy uniqueName="[Measures].[Sum of Installation Cost (USD)]" caption="Sum of Installation Cost (USD)" measure="1" displayFolder="" measureGroup="Table1" count="0">
      <extLst>
        <ext xmlns:x15="http://schemas.microsoft.com/office/spreadsheetml/2010/11/main" uri="{B97F6D7D-B522-45F9-BDA1-12C45D357490}">
          <x15:cacheHierarchy aggregatedColumn="18"/>
        </ext>
      </extLst>
    </cacheHierarchy>
    <cacheHierarchy uniqueName="[Measures].[Sum of Warranty Period (Months)]" caption="Sum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Average of Warranty Period (Months)]" caption="Average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Count of Equipment]" caption="Count of Equipment" measure="1" displayFolder="" measureGroup="Table1" count="0">
      <extLst>
        <ext xmlns:x15="http://schemas.microsoft.com/office/spreadsheetml/2010/11/main" uri="{B97F6D7D-B522-45F9-BDA1-12C45D357490}">
          <x15:cacheHierarchy aggregatedColumn="5"/>
        </ext>
      </extLst>
    </cacheHierarchy>
    <cacheHierarchy uniqueName="[Measures].[Sum of Delivery Days]" caption="Sum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Delivery Days]" caption="Average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Installation Cost (USD)]" caption="Average of Installation Cost (USD)" measure="1" displayFolder="" measureGroup="Table1" count="0">
      <extLst>
        <ext xmlns:x15="http://schemas.microsoft.com/office/spreadsheetml/2010/11/main" uri="{B97F6D7D-B522-45F9-BDA1-12C45D357490}">
          <x15:cacheHierarchy aggregatedColumn="18"/>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P" refreshedDate="46225.033664699076" backgroundQuery="1" createdVersion="5" refreshedVersion="5" minRefreshableVersion="3" recordCount="0" supportSubquery="1" supportAdvancedDrill="1">
  <cacheSource type="external" connectionId="1"/>
  <cacheFields count="3">
    <cacheField name="[Table1].[Hospital].[Hospital]" caption="Hospital" numFmtId="0" hierarchy="1" level="1">
      <sharedItems count="15">
        <s v=" Abeokuta General Hospital"/>
        <s v=" Bauchi National Hospital"/>
        <s v=" Benin City General Hospital"/>
        <s v=" Dutse General Hospital"/>
        <s v=" Egbe Specialist"/>
        <s v=" Gusau General Hospital"/>
        <s v=" Ifo Medical"/>
        <s v=" Iragbiji Hospital"/>
        <s v=" Kaduna National Hospital"/>
        <s v=" Keffi Federal Medical Center"/>
        <s v=" Makurdi General Hospital"/>
        <s v=" Minna Federal Medical Center"/>
        <s v=" Port Harcourt General"/>
        <s v=" Umuahia General Hospital"/>
        <s v=" Yenagoa Medical Center"/>
      </sharedItems>
    </cacheField>
    <cacheField name="[Table1].[Equipment Condition].[Equipment Condition]" caption="Equipment Condition" numFmtId="0" hierarchy="21" level="1">
      <sharedItems count="4">
        <s v=" New"/>
        <s v=" Refurbished"/>
        <s v=" Used - Fair"/>
        <s v=" Used - Good"/>
      </sharedItems>
    </cacheField>
    <cacheField name="[Measures].[Average of Installation Cost (USD)]" caption="Average of Installation Cost (USD)" numFmtId="0" hierarchy="35" level="32767"/>
  </cacheFields>
  <cacheHierarchies count="38">
    <cacheHierarchy uniqueName="[Table1].[Serial No]" caption="Serial No" attribute="1" defaultMemberUniqueName="[Table1].[Serial No].[All]" allUniqueName="[Table1].[Serial No].[All]" dimensionUniqueName="[Table1]" displayFolder="" count="0" memberValueDatatype="20" unbalanced="0"/>
    <cacheHierarchy uniqueName="[Table1].[Hospital]" caption="Hospital" attribute="1" defaultMemberUniqueName="[Table1].[Hospital].[All]" allUniqueName="[Table1].[Hospital].[All]" dimensionUniqueName="[Table1]" displayFolder="" count="2" memberValueDatatype="130" unbalanced="0">
      <fieldsUsage count="2">
        <fieldUsage x="-1"/>
        <fieldUsage x="0"/>
      </fieldsUsage>
    </cacheHierarchy>
    <cacheHierarchy uniqueName="[Table1].[State]" caption="State" attribute="1" defaultMemberUniqueName="[Table1].[State].[All]" allUniqueName="[Table1].[Stat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quipment]" caption="Equipment" attribute="1" defaultMemberUniqueName="[Table1].[Equipment].[All]" allUniqueName="[Table1].[Equipmen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USD)]" caption="Unit Price (USD)" attribute="1" defaultMemberUniqueName="[Table1].[Unit Price (USD)].[All]" allUniqueName="[Table1].[Unit Price (USD)].[All]" dimensionUniqueName="[Table1]" displayFolder="" count="0" memberValueDatatype="20" unbalanced="0"/>
    <cacheHierarchy uniqueName="[Table1].[Supplier]" caption="Supplier" attribute="1" defaultMemberUniqueName="[Table1].[Supplier].[All]" allUniqueName="[Table1].[Supplier].[All]" dimensionUniqueName="[Table1]" displayFolder="" count="0" memberValueDatatype="130" unbalanced="0"/>
    <cacheHierarchy uniqueName="[Table1].[Supplier Contact]" caption="Supplier Contact" attribute="1" defaultMemberUniqueName="[Table1].[Supplier Contact].[All]" allUniqueName="[Table1].[Supplier Contact].[All]" dimensionUniqueName="[Table1]" displayFolder="" count="0" memberValueDatatype="130" unbalanced="0"/>
    <cacheHierarchy uniqueName="[Table1].[Supplier Phone]" caption="Supplier Phone" attribute="1" defaultMemberUniqueName="[Table1].[Supplier Phone].[All]" allUniqueName="[Table1].[Supplier Phone].[All]" dimensionUniqueName="[Table1]" displayFolder="" count="0" memberValueDatatype="5" unbalanced="0"/>
    <cacheHierarchy uniqueName="[Table1].[Supplier Email]" caption="Supplier Email" attribute="1" defaultMemberUniqueName="[Table1].[Supplier Email].[All]" allUniqueName="[Table1].[Supplier Email].[All]" dimensionUniqueName="[Table1]" displayFolder="" count="0" memberValueDatatype="130" unbalanced="0"/>
    <cacheHierarchy uniqueName="[Table1].[Supplier Country]" caption="Supplier Country" attribute="1" defaultMemberUniqueName="[Table1].[Supplier Country].[All]" allUniqueName="[Table1].[Supplier Country].[All]" dimensionUniqueName="[Table1]" displayFolder="" count="0" memberValueDatatype="130" unbalanced="0"/>
    <cacheHierarchy uniqueName="[Table1].[Date Ordered]" caption="Date Ordered" attribute="1" time="1" defaultMemberUniqueName="[Table1].[Date Ordered].[All]" allUniqueName="[Table1].[Date Ordered].[All]" dimensionUniqueName="[Table1]" displayFolder="" count="0" memberValueDatatype="7" unbalanced="0"/>
    <cacheHierarchy uniqueName="[Table1].[Date Delivered]" caption="Date Delivered" attribute="1" time="1" defaultMemberUniqueName="[Table1].[Date Delivered].[All]" allUniqueName="[Table1].[Date Delivered].[All]" dimensionUniqueName="[Table1]" displayFolder="" count="0" memberValueDatatype="7"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Warranty Period (Months)]" caption="Warranty Period (Months)" attribute="1" defaultMemberUniqueName="[Table1].[Warranty Period (Months)].[All]" allUniqueName="[Table1].[Warranty Period (Months)].[All]" dimensionUniqueName="[Table1]" displayFolder="" count="0" memberValueDatatype="20" unbalanced="0"/>
    <cacheHierarchy uniqueName="[Table1].[Maintenance Cost (USD/year)]" caption="Maintenance Cost (USD/year)" attribute="1" defaultMemberUniqueName="[Table1].[Maintenance Cost (USD/year)].[All]" allUniqueName="[Table1].[Maintenance Cost (USD/year)].[All]" dimensionUniqueName="[Table1]" displayFolder="" count="0" memberValueDatatype="20" unbalanced="0"/>
    <cacheHierarchy uniqueName="[Table1].[Installation Cost (USD)]" caption="Installation Cost (USD)" attribute="1" defaultMemberUniqueName="[Table1].[Installation Cost (USD)].[All]" allUniqueName="[Table1].[Installation Cost (USD)].[All]" dimensionUniqueName="[Table1]" displayFolder="" count="0" memberValueDatatype="20" unbalanced="0"/>
    <cacheHierarchy uniqueName="[Table1].[Total Procurement Cost]" caption="Total Procurement Cost" attribute="1" defaultMemberUniqueName="[Table1].[Total Procurement Cost].[All]" allUniqueName="[Table1].[Total Procuremen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Equipment Condition]" caption="Equipment Condition" attribute="1" defaultMemberUniqueName="[Table1].[Equipment Condition].[All]" allUniqueName="[Table1].[Equipment Condition].[All]" dimensionUniqueName="[Table1]" displayFolder="" count="2" memberValueDatatype="130" unbalanced="0">
      <fieldsUsage count="2">
        <fieldUsage x="-1"/>
        <fieldUsage x="1"/>
      </fieldsUsage>
    </cacheHierarchy>
    <cacheHierarchy uniqueName="[Table1].[Deliver Status]" caption="Deliver Status" attribute="1" defaultMemberUniqueName="[Table1].[Deliver Status].[All]" allUniqueName="[Table1].[Deliver Status].[All]" dimensionUniqueName="[Table1]" displayFolder="" count="0" memberValueDatatype="130" unbalanced="0"/>
    <cacheHierarchy uniqueName="[Table1].[Warranty Category]" caption="Warranty Category" attribute="1" defaultMemberUniqueName="[Table1].[Warranty Category].[All]" allUniqueName="[Table1].[Warranty Category].[All]" dimensionUniqueName="[Table1]" displayFolder="" count="0" memberValueDatatype="130" unbalanced="0"/>
    <cacheHierarchy uniqueName="[Measures].[Sum of Total Procurement Cost]" caption="Sum of Total Procurement Cos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6"/>
        </ext>
      </extLst>
    </cacheHierarchy>
    <cacheHierarchy uniqueName="[Measures].[Count of Hospital]" caption="Count of Hospital" measure="1" displayFolder="" measureGroup="Table1" count="0">
      <extLst>
        <ext xmlns:x15="http://schemas.microsoft.com/office/spreadsheetml/2010/11/main" uri="{B97F6D7D-B522-45F9-BDA1-12C45D357490}">
          <x15:cacheHierarchy aggregatedColumn="1"/>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8"/>
        </ext>
      </extLst>
    </cacheHierarchy>
    <cacheHierarchy uniqueName="[Measures].[Sum of Maintenance Cost (USDyear)]" caption="Sum of Maintenance Cost (USDyear)" measure="1" displayFolder="" measureGroup="Table1" count="0">
      <extLst>
        <ext xmlns:x15="http://schemas.microsoft.com/office/spreadsheetml/2010/11/main" uri="{B97F6D7D-B522-45F9-BDA1-12C45D357490}">
          <x15:cacheHierarchy aggregatedColumn="17"/>
        </ext>
      </extLst>
    </cacheHierarchy>
    <cacheHierarchy uniqueName="[Measures].[Sum of Installation Cost (USD)]" caption="Sum of Installation Cost (USD)" measure="1" displayFolder="" measureGroup="Table1" count="0">
      <extLst>
        <ext xmlns:x15="http://schemas.microsoft.com/office/spreadsheetml/2010/11/main" uri="{B97F6D7D-B522-45F9-BDA1-12C45D357490}">
          <x15:cacheHierarchy aggregatedColumn="18"/>
        </ext>
      </extLst>
    </cacheHierarchy>
    <cacheHierarchy uniqueName="[Measures].[Sum of Warranty Period (Months)]" caption="Sum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Average of Warranty Period (Months)]" caption="Average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Count of Equipment]" caption="Count of Equipment" measure="1" displayFolder="" measureGroup="Table1" count="0">
      <extLst>
        <ext xmlns:x15="http://schemas.microsoft.com/office/spreadsheetml/2010/11/main" uri="{B97F6D7D-B522-45F9-BDA1-12C45D357490}">
          <x15:cacheHierarchy aggregatedColumn="5"/>
        </ext>
      </extLst>
    </cacheHierarchy>
    <cacheHierarchy uniqueName="[Measures].[Sum of Delivery Days]" caption="Sum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Delivery Days]" caption="Average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Installation Cost (USD)]" caption="Average of Installation Cost (USD)" measure="1" displayFolder="" measureGroup="Table1" count="0" oneField="1">
      <fieldsUsage count="1">
        <fieldUsage x="2"/>
      </fieldsUsage>
      <extLst>
        <ext xmlns:x15="http://schemas.microsoft.com/office/spreadsheetml/2010/11/main" uri="{B97F6D7D-B522-45F9-BDA1-12C45D357490}">
          <x15:cacheHierarchy aggregatedColumn="18"/>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P" refreshedDate="46225.033666550924" backgroundQuery="1" createdVersion="5" refreshedVersion="5" minRefreshableVersion="3" recordCount="0" supportSubquery="1" supportAdvancedDrill="1">
  <cacheSource type="external" connectionId="1"/>
  <cacheFields count="1">
    <cacheField name="[Measures].[Sum of Quantity]" caption="Sum of Quantity" numFmtId="0" hierarchy="25" level="32767"/>
  </cacheFields>
  <cacheHierarchies count="38">
    <cacheHierarchy uniqueName="[Table1].[Serial No]" caption="Serial No" attribute="1" defaultMemberUniqueName="[Table1].[Serial No].[All]" allUniqueName="[Table1].[Serial No].[All]" dimensionUniqueName="[Table1]" displayFolder="" count="0" memberValueDatatype="20" unbalanced="0"/>
    <cacheHierarchy uniqueName="[Table1].[Hospital]" caption="Hospital" attribute="1" defaultMemberUniqueName="[Table1].[Hospital].[All]" allUniqueName="[Table1].[Hospital].[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quipment]" caption="Equipment" attribute="1" defaultMemberUniqueName="[Table1].[Equipment].[All]" allUniqueName="[Table1].[Equipmen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USD)]" caption="Unit Price (USD)" attribute="1" defaultMemberUniqueName="[Table1].[Unit Price (USD)].[All]" allUniqueName="[Table1].[Unit Price (USD)].[All]" dimensionUniqueName="[Table1]" displayFolder="" count="0" memberValueDatatype="20" unbalanced="0"/>
    <cacheHierarchy uniqueName="[Table1].[Supplier]" caption="Supplier" attribute="1" defaultMemberUniqueName="[Table1].[Supplier].[All]" allUniqueName="[Table1].[Supplier].[All]" dimensionUniqueName="[Table1]" displayFolder="" count="0" memberValueDatatype="130" unbalanced="0"/>
    <cacheHierarchy uniqueName="[Table1].[Supplier Contact]" caption="Supplier Contact" attribute="1" defaultMemberUniqueName="[Table1].[Supplier Contact].[All]" allUniqueName="[Table1].[Supplier Contact].[All]" dimensionUniqueName="[Table1]" displayFolder="" count="0" memberValueDatatype="130" unbalanced="0"/>
    <cacheHierarchy uniqueName="[Table1].[Supplier Phone]" caption="Supplier Phone" attribute="1" defaultMemberUniqueName="[Table1].[Supplier Phone].[All]" allUniqueName="[Table1].[Supplier Phone].[All]" dimensionUniqueName="[Table1]" displayFolder="" count="0" memberValueDatatype="5" unbalanced="0"/>
    <cacheHierarchy uniqueName="[Table1].[Supplier Email]" caption="Supplier Email" attribute="1" defaultMemberUniqueName="[Table1].[Supplier Email].[All]" allUniqueName="[Table1].[Supplier Email].[All]" dimensionUniqueName="[Table1]" displayFolder="" count="0" memberValueDatatype="130" unbalanced="0"/>
    <cacheHierarchy uniqueName="[Table1].[Supplier Country]" caption="Supplier Country" attribute="1" defaultMemberUniqueName="[Table1].[Supplier Country].[All]" allUniqueName="[Table1].[Supplier Country].[All]" dimensionUniqueName="[Table1]" displayFolder="" count="0" memberValueDatatype="130" unbalanced="0"/>
    <cacheHierarchy uniqueName="[Table1].[Date Ordered]" caption="Date Ordered" attribute="1" time="1" defaultMemberUniqueName="[Table1].[Date Ordered].[All]" allUniqueName="[Table1].[Date Ordered].[All]" dimensionUniqueName="[Table1]" displayFolder="" count="0" memberValueDatatype="7" unbalanced="0"/>
    <cacheHierarchy uniqueName="[Table1].[Date Delivered]" caption="Date Delivered" attribute="1" time="1" defaultMemberUniqueName="[Table1].[Date Delivered].[All]" allUniqueName="[Table1].[Date Delivered].[All]" dimensionUniqueName="[Table1]" displayFolder="" count="0" memberValueDatatype="7"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Warranty Period (Months)]" caption="Warranty Period (Months)" attribute="1" defaultMemberUniqueName="[Table1].[Warranty Period (Months)].[All]" allUniqueName="[Table1].[Warranty Period (Months)].[All]" dimensionUniqueName="[Table1]" displayFolder="" count="0" memberValueDatatype="20" unbalanced="0"/>
    <cacheHierarchy uniqueName="[Table1].[Maintenance Cost (USD/year)]" caption="Maintenance Cost (USD/year)" attribute="1" defaultMemberUniqueName="[Table1].[Maintenance Cost (USD/year)].[All]" allUniqueName="[Table1].[Maintenance Cost (USD/year)].[All]" dimensionUniqueName="[Table1]" displayFolder="" count="0" memberValueDatatype="20" unbalanced="0"/>
    <cacheHierarchy uniqueName="[Table1].[Installation Cost (USD)]" caption="Installation Cost (USD)" attribute="1" defaultMemberUniqueName="[Table1].[Installation Cost (USD)].[All]" allUniqueName="[Table1].[Installation Cost (USD)].[All]" dimensionUniqueName="[Table1]" displayFolder="" count="0" memberValueDatatype="20" unbalanced="0"/>
    <cacheHierarchy uniqueName="[Table1].[Total Procurement Cost]" caption="Total Procurement Cost" attribute="1" defaultMemberUniqueName="[Table1].[Total Procurement Cost].[All]" allUniqueName="[Table1].[Total Procuremen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Equipment Condition]" caption="Equipment Condition" attribute="1" defaultMemberUniqueName="[Table1].[Equipment Condition].[All]" allUniqueName="[Table1].[Equipment Condition].[All]" dimensionUniqueName="[Table1]" displayFolder="" count="0" memberValueDatatype="130" unbalanced="0"/>
    <cacheHierarchy uniqueName="[Table1].[Deliver Status]" caption="Deliver Status" attribute="1" defaultMemberUniqueName="[Table1].[Deliver Status].[All]" allUniqueName="[Table1].[Deliver Status].[All]" dimensionUniqueName="[Table1]" displayFolder="" count="0" memberValueDatatype="130" unbalanced="0"/>
    <cacheHierarchy uniqueName="[Table1].[Warranty Category]" caption="Warranty Category" attribute="1" defaultMemberUniqueName="[Table1].[Warranty Category].[All]" allUniqueName="[Table1].[Warranty Category].[All]" dimensionUniqueName="[Table1]" displayFolder="" count="0" memberValueDatatype="130" unbalanced="0"/>
    <cacheHierarchy uniqueName="[Measures].[Sum of Total Procurement Cost]" caption="Sum of Total Procurement Cos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oneField="1">
      <fieldsUsage count="1">
        <fieldUsage x="0"/>
      </fieldsUsage>
      <extLst>
        <ext xmlns:x15="http://schemas.microsoft.com/office/spreadsheetml/2010/11/main" uri="{B97F6D7D-B522-45F9-BDA1-12C45D357490}">
          <x15:cacheHierarchy aggregatedColumn="6"/>
        </ext>
      </extLst>
    </cacheHierarchy>
    <cacheHierarchy uniqueName="[Measures].[Count of Hospital]" caption="Count of Hospital" measure="1" displayFolder="" measureGroup="Table1" count="0">
      <extLst>
        <ext xmlns:x15="http://schemas.microsoft.com/office/spreadsheetml/2010/11/main" uri="{B97F6D7D-B522-45F9-BDA1-12C45D357490}">
          <x15:cacheHierarchy aggregatedColumn="1"/>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8"/>
        </ext>
      </extLst>
    </cacheHierarchy>
    <cacheHierarchy uniqueName="[Measures].[Sum of Maintenance Cost (USDyear)]" caption="Sum of Maintenance Cost (USDyear)" measure="1" displayFolder="" measureGroup="Table1" count="0">
      <extLst>
        <ext xmlns:x15="http://schemas.microsoft.com/office/spreadsheetml/2010/11/main" uri="{B97F6D7D-B522-45F9-BDA1-12C45D357490}">
          <x15:cacheHierarchy aggregatedColumn="17"/>
        </ext>
      </extLst>
    </cacheHierarchy>
    <cacheHierarchy uniqueName="[Measures].[Sum of Installation Cost (USD)]" caption="Sum of Installation Cost (USD)" measure="1" displayFolder="" measureGroup="Table1" count="0">
      <extLst>
        <ext xmlns:x15="http://schemas.microsoft.com/office/spreadsheetml/2010/11/main" uri="{B97F6D7D-B522-45F9-BDA1-12C45D357490}">
          <x15:cacheHierarchy aggregatedColumn="18"/>
        </ext>
      </extLst>
    </cacheHierarchy>
    <cacheHierarchy uniqueName="[Measures].[Sum of Warranty Period (Months)]" caption="Sum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Average of Warranty Period (Months)]" caption="Average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Count of Equipment]" caption="Count of Equipment" measure="1" displayFolder="" measureGroup="Table1" count="0">
      <extLst>
        <ext xmlns:x15="http://schemas.microsoft.com/office/spreadsheetml/2010/11/main" uri="{B97F6D7D-B522-45F9-BDA1-12C45D357490}">
          <x15:cacheHierarchy aggregatedColumn="5"/>
        </ext>
      </extLst>
    </cacheHierarchy>
    <cacheHierarchy uniqueName="[Measures].[Sum of Delivery Days]" caption="Sum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Delivery Days]" caption="Average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Installation Cost (USD)]" caption="Average of Installation Cost (USD)" measure="1" displayFolder="" measureGroup="Table1" count="0">
      <extLst>
        <ext xmlns:x15="http://schemas.microsoft.com/office/spreadsheetml/2010/11/main" uri="{B97F6D7D-B522-45F9-BDA1-12C45D357490}">
          <x15:cacheHierarchy aggregatedColumn="18"/>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P" refreshedDate="46225.033668171294" backgroundQuery="1" createdVersion="5" refreshedVersion="5" minRefreshableVersion="3" recordCount="0" supportSubquery="1" supportAdvancedDrill="1">
  <cacheSource type="external" connectionId="1"/>
  <cacheFields count="1">
    <cacheField name="[Measures].[Count of Hospital]" caption="Count of Hospital" numFmtId="0" hierarchy="26" level="32767"/>
  </cacheFields>
  <cacheHierarchies count="38">
    <cacheHierarchy uniqueName="[Table1].[Serial No]" caption="Serial No" attribute="1" defaultMemberUniqueName="[Table1].[Serial No].[All]" allUniqueName="[Table1].[Serial No].[All]" dimensionUniqueName="[Table1]" displayFolder="" count="0" memberValueDatatype="20" unbalanced="0"/>
    <cacheHierarchy uniqueName="[Table1].[Hospital]" caption="Hospital" attribute="1" defaultMemberUniqueName="[Table1].[Hospital].[All]" allUniqueName="[Table1].[Hospital].[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quipment]" caption="Equipment" attribute="1" defaultMemberUniqueName="[Table1].[Equipment].[All]" allUniqueName="[Table1].[Equipmen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USD)]" caption="Unit Price (USD)" attribute="1" defaultMemberUniqueName="[Table1].[Unit Price (USD)].[All]" allUniqueName="[Table1].[Unit Price (USD)].[All]" dimensionUniqueName="[Table1]" displayFolder="" count="0" memberValueDatatype="20" unbalanced="0"/>
    <cacheHierarchy uniqueName="[Table1].[Supplier]" caption="Supplier" attribute="1" defaultMemberUniqueName="[Table1].[Supplier].[All]" allUniqueName="[Table1].[Supplier].[All]" dimensionUniqueName="[Table1]" displayFolder="" count="0" memberValueDatatype="130" unbalanced="0"/>
    <cacheHierarchy uniqueName="[Table1].[Supplier Contact]" caption="Supplier Contact" attribute="1" defaultMemberUniqueName="[Table1].[Supplier Contact].[All]" allUniqueName="[Table1].[Supplier Contact].[All]" dimensionUniqueName="[Table1]" displayFolder="" count="0" memberValueDatatype="130" unbalanced="0"/>
    <cacheHierarchy uniqueName="[Table1].[Supplier Phone]" caption="Supplier Phone" attribute="1" defaultMemberUniqueName="[Table1].[Supplier Phone].[All]" allUniqueName="[Table1].[Supplier Phone].[All]" dimensionUniqueName="[Table1]" displayFolder="" count="0" memberValueDatatype="5" unbalanced="0"/>
    <cacheHierarchy uniqueName="[Table1].[Supplier Email]" caption="Supplier Email" attribute="1" defaultMemberUniqueName="[Table1].[Supplier Email].[All]" allUniqueName="[Table1].[Supplier Email].[All]" dimensionUniqueName="[Table1]" displayFolder="" count="0" memberValueDatatype="130" unbalanced="0"/>
    <cacheHierarchy uniqueName="[Table1].[Supplier Country]" caption="Supplier Country" attribute="1" defaultMemberUniqueName="[Table1].[Supplier Country].[All]" allUniqueName="[Table1].[Supplier Country].[All]" dimensionUniqueName="[Table1]" displayFolder="" count="0" memberValueDatatype="130" unbalanced="0"/>
    <cacheHierarchy uniqueName="[Table1].[Date Ordered]" caption="Date Ordered" attribute="1" time="1" defaultMemberUniqueName="[Table1].[Date Ordered].[All]" allUniqueName="[Table1].[Date Ordered].[All]" dimensionUniqueName="[Table1]" displayFolder="" count="0" memberValueDatatype="7" unbalanced="0"/>
    <cacheHierarchy uniqueName="[Table1].[Date Delivered]" caption="Date Delivered" attribute="1" time="1" defaultMemberUniqueName="[Table1].[Date Delivered].[All]" allUniqueName="[Table1].[Date Delivered].[All]" dimensionUniqueName="[Table1]" displayFolder="" count="0" memberValueDatatype="7"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Warranty Period (Months)]" caption="Warranty Period (Months)" attribute="1" defaultMemberUniqueName="[Table1].[Warranty Period (Months)].[All]" allUniqueName="[Table1].[Warranty Period (Months)].[All]" dimensionUniqueName="[Table1]" displayFolder="" count="0" memberValueDatatype="20" unbalanced="0"/>
    <cacheHierarchy uniqueName="[Table1].[Maintenance Cost (USD/year)]" caption="Maintenance Cost (USD/year)" attribute="1" defaultMemberUniqueName="[Table1].[Maintenance Cost (USD/year)].[All]" allUniqueName="[Table1].[Maintenance Cost (USD/year)].[All]" dimensionUniqueName="[Table1]" displayFolder="" count="0" memberValueDatatype="20" unbalanced="0"/>
    <cacheHierarchy uniqueName="[Table1].[Installation Cost (USD)]" caption="Installation Cost (USD)" attribute="1" defaultMemberUniqueName="[Table1].[Installation Cost (USD)].[All]" allUniqueName="[Table1].[Installation Cost (USD)].[All]" dimensionUniqueName="[Table1]" displayFolder="" count="0" memberValueDatatype="20" unbalanced="0"/>
    <cacheHierarchy uniqueName="[Table1].[Total Procurement Cost]" caption="Total Procurement Cost" attribute="1" defaultMemberUniqueName="[Table1].[Total Procurement Cost].[All]" allUniqueName="[Table1].[Total Procuremen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Equipment Condition]" caption="Equipment Condition" attribute="1" defaultMemberUniqueName="[Table1].[Equipment Condition].[All]" allUniqueName="[Table1].[Equipment Condition].[All]" dimensionUniqueName="[Table1]" displayFolder="" count="0" memberValueDatatype="130" unbalanced="0"/>
    <cacheHierarchy uniqueName="[Table1].[Deliver Status]" caption="Deliver Status" attribute="1" defaultMemberUniqueName="[Table1].[Deliver Status].[All]" allUniqueName="[Table1].[Deliver Status].[All]" dimensionUniqueName="[Table1]" displayFolder="" count="0" memberValueDatatype="130" unbalanced="0"/>
    <cacheHierarchy uniqueName="[Table1].[Warranty Category]" caption="Warranty Category" attribute="1" defaultMemberUniqueName="[Table1].[Warranty Category].[All]" allUniqueName="[Table1].[Warranty Category].[All]" dimensionUniqueName="[Table1]" displayFolder="" count="0" memberValueDatatype="130" unbalanced="0"/>
    <cacheHierarchy uniqueName="[Measures].[Sum of Total Procurement Cost]" caption="Sum of Total Procurement Cos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6"/>
        </ext>
      </extLst>
    </cacheHierarchy>
    <cacheHierarchy uniqueName="[Measures].[Count of Hospital]" caption="Count of Hospital" measure="1" displayFolder="" measureGroup="Table1" count="0" oneField="1">
      <fieldsUsage count="1">
        <fieldUsage x="0"/>
      </fieldsUsage>
      <extLst>
        <ext xmlns:x15="http://schemas.microsoft.com/office/spreadsheetml/2010/11/main" uri="{B97F6D7D-B522-45F9-BDA1-12C45D357490}">
          <x15:cacheHierarchy aggregatedColumn="1"/>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8"/>
        </ext>
      </extLst>
    </cacheHierarchy>
    <cacheHierarchy uniqueName="[Measures].[Sum of Maintenance Cost (USDyear)]" caption="Sum of Maintenance Cost (USDyear)" measure="1" displayFolder="" measureGroup="Table1" count="0">
      <extLst>
        <ext xmlns:x15="http://schemas.microsoft.com/office/spreadsheetml/2010/11/main" uri="{B97F6D7D-B522-45F9-BDA1-12C45D357490}">
          <x15:cacheHierarchy aggregatedColumn="17"/>
        </ext>
      </extLst>
    </cacheHierarchy>
    <cacheHierarchy uniqueName="[Measures].[Sum of Installation Cost (USD)]" caption="Sum of Installation Cost (USD)" measure="1" displayFolder="" measureGroup="Table1" count="0">
      <extLst>
        <ext xmlns:x15="http://schemas.microsoft.com/office/spreadsheetml/2010/11/main" uri="{B97F6D7D-B522-45F9-BDA1-12C45D357490}">
          <x15:cacheHierarchy aggregatedColumn="18"/>
        </ext>
      </extLst>
    </cacheHierarchy>
    <cacheHierarchy uniqueName="[Measures].[Sum of Warranty Period (Months)]" caption="Sum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Average of Warranty Period (Months)]" caption="Average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Count of Equipment]" caption="Count of Equipment" measure="1" displayFolder="" measureGroup="Table1" count="0">
      <extLst>
        <ext xmlns:x15="http://schemas.microsoft.com/office/spreadsheetml/2010/11/main" uri="{B97F6D7D-B522-45F9-BDA1-12C45D357490}">
          <x15:cacheHierarchy aggregatedColumn="5"/>
        </ext>
      </extLst>
    </cacheHierarchy>
    <cacheHierarchy uniqueName="[Measures].[Sum of Delivery Days]" caption="Sum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Delivery Days]" caption="Average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Installation Cost (USD)]" caption="Average of Installation Cost (USD)" measure="1" displayFolder="" measureGroup="Table1" count="0">
      <extLst>
        <ext xmlns:x15="http://schemas.microsoft.com/office/spreadsheetml/2010/11/main" uri="{B97F6D7D-B522-45F9-BDA1-12C45D357490}">
          <x15:cacheHierarchy aggregatedColumn="18"/>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P" refreshedDate="46225.033669675926" backgroundQuery="1" createdVersion="5" refreshedVersion="5" minRefreshableVersion="3" recordCount="0" supportSubquery="1" supportAdvancedDrill="1">
  <cacheSource type="external" connectionId="1"/>
  <cacheFields count="1">
    <cacheField name="[Measures].[Count of Supplier]" caption="Count of Supplier" numFmtId="0" hierarchy="27" level="32767"/>
  </cacheFields>
  <cacheHierarchies count="38">
    <cacheHierarchy uniqueName="[Table1].[Serial No]" caption="Serial No" attribute="1" defaultMemberUniqueName="[Table1].[Serial No].[All]" allUniqueName="[Table1].[Serial No].[All]" dimensionUniqueName="[Table1]" displayFolder="" count="0" memberValueDatatype="20" unbalanced="0"/>
    <cacheHierarchy uniqueName="[Table1].[Hospital]" caption="Hospital" attribute="1" defaultMemberUniqueName="[Table1].[Hospital].[All]" allUniqueName="[Table1].[Hospital].[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quipment]" caption="Equipment" attribute="1" defaultMemberUniqueName="[Table1].[Equipment].[All]" allUniqueName="[Table1].[Equipmen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USD)]" caption="Unit Price (USD)" attribute="1" defaultMemberUniqueName="[Table1].[Unit Price (USD)].[All]" allUniqueName="[Table1].[Unit Price (USD)].[All]" dimensionUniqueName="[Table1]" displayFolder="" count="0" memberValueDatatype="20" unbalanced="0"/>
    <cacheHierarchy uniqueName="[Table1].[Supplier]" caption="Supplier" attribute="1" defaultMemberUniqueName="[Table1].[Supplier].[All]" allUniqueName="[Table1].[Supplier].[All]" dimensionUniqueName="[Table1]" displayFolder="" count="0" memberValueDatatype="130" unbalanced="0"/>
    <cacheHierarchy uniqueName="[Table1].[Supplier Contact]" caption="Supplier Contact" attribute="1" defaultMemberUniqueName="[Table1].[Supplier Contact].[All]" allUniqueName="[Table1].[Supplier Contact].[All]" dimensionUniqueName="[Table1]" displayFolder="" count="0" memberValueDatatype="130" unbalanced="0"/>
    <cacheHierarchy uniqueName="[Table1].[Supplier Phone]" caption="Supplier Phone" attribute="1" defaultMemberUniqueName="[Table1].[Supplier Phone].[All]" allUniqueName="[Table1].[Supplier Phone].[All]" dimensionUniqueName="[Table1]" displayFolder="" count="0" memberValueDatatype="5" unbalanced="0"/>
    <cacheHierarchy uniqueName="[Table1].[Supplier Email]" caption="Supplier Email" attribute="1" defaultMemberUniqueName="[Table1].[Supplier Email].[All]" allUniqueName="[Table1].[Supplier Email].[All]" dimensionUniqueName="[Table1]" displayFolder="" count="0" memberValueDatatype="130" unbalanced="0"/>
    <cacheHierarchy uniqueName="[Table1].[Supplier Country]" caption="Supplier Country" attribute="1" defaultMemberUniqueName="[Table1].[Supplier Country].[All]" allUniqueName="[Table1].[Supplier Country].[All]" dimensionUniqueName="[Table1]" displayFolder="" count="0" memberValueDatatype="130" unbalanced="0"/>
    <cacheHierarchy uniqueName="[Table1].[Date Ordered]" caption="Date Ordered" attribute="1" time="1" defaultMemberUniqueName="[Table1].[Date Ordered].[All]" allUniqueName="[Table1].[Date Ordered].[All]" dimensionUniqueName="[Table1]" displayFolder="" count="0" memberValueDatatype="7" unbalanced="0"/>
    <cacheHierarchy uniqueName="[Table1].[Date Delivered]" caption="Date Delivered" attribute="1" time="1" defaultMemberUniqueName="[Table1].[Date Delivered].[All]" allUniqueName="[Table1].[Date Delivered].[All]" dimensionUniqueName="[Table1]" displayFolder="" count="0" memberValueDatatype="7"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Warranty Period (Months)]" caption="Warranty Period (Months)" attribute="1" defaultMemberUniqueName="[Table1].[Warranty Period (Months)].[All]" allUniqueName="[Table1].[Warranty Period (Months)].[All]" dimensionUniqueName="[Table1]" displayFolder="" count="0" memberValueDatatype="20" unbalanced="0"/>
    <cacheHierarchy uniqueName="[Table1].[Maintenance Cost (USD/year)]" caption="Maintenance Cost (USD/year)" attribute="1" defaultMemberUniqueName="[Table1].[Maintenance Cost (USD/year)].[All]" allUniqueName="[Table1].[Maintenance Cost (USD/year)].[All]" dimensionUniqueName="[Table1]" displayFolder="" count="0" memberValueDatatype="20" unbalanced="0"/>
    <cacheHierarchy uniqueName="[Table1].[Installation Cost (USD)]" caption="Installation Cost (USD)" attribute="1" defaultMemberUniqueName="[Table1].[Installation Cost (USD)].[All]" allUniqueName="[Table1].[Installation Cost (USD)].[All]" dimensionUniqueName="[Table1]" displayFolder="" count="0" memberValueDatatype="20" unbalanced="0"/>
    <cacheHierarchy uniqueName="[Table1].[Total Procurement Cost]" caption="Total Procurement Cost" attribute="1" defaultMemberUniqueName="[Table1].[Total Procurement Cost].[All]" allUniqueName="[Table1].[Total Procuremen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Equipment Condition]" caption="Equipment Condition" attribute="1" defaultMemberUniqueName="[Table1].[Equipment Condition].[All]" allUniqueName="[Table1].[Equipment Condition].[All]" dimensionUniqueName="[Table1]" displayFolder="" count="0" memberValueDatatype="130" unbalanced="0"/>
    <cacheHierarchy uniqueName="[Table1].[Deliver Status]" caption="Deliver Status" attribute="1" defaultMemberUniqueName="[Table1].[Deliver Status].[All]" allUniqueName="[Table1].[Deliver Status].[All]" dimensionUniqueName="[Table1]" displayFolder="" count="0" memberValueDatatype="130" unbalanced="0"/>
    <cacheHierarchy uniqueName="[Table1].[Warranty Category]" caption="Warranty Category" attribute="1" defaultMemberUniqueName="[Table1].[Warranty Category].[All]" allUniqueName="[Table1].[Warranty Category].[All]" dimensionUniqueName="[Table1]" displayFolder="" count="0" memberValueDatatype="130" unbalanced="0"/>
    <cacheHierarchy uniqueName="[Measures].[Sum of Total Procurement Cost]" caption="Sum of Total Procurement Cos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6"/>
        </ext>
      </extLst>
    </cacheHierarchy>
    <cacheHierarchy uniqueName="[Measures].[Count of Hospital]" caption="Count of Hospital" measure="1" displayFolder="" measureGroup="Table1" count="0">
      <extLst>
        <ext xmlns:x15="http://schemas.microsoft.com/office/spreadsheetml/2010/11/main" uri="{B97F6D7D-B522-45F9-BDA1-12C45D357490}">
          <x15:cacheHierarchy aggregatedColumn="1"/>
        </ext>
      </extLst>
    </cacheHierarchy>
    <cacheHierarchy uniqueName="[Measures].[Count of Supplier]" caption="Count of Supplier" measure="1" displayFolder="" measureGroup="Table1" count="0" oneField="1">
      <fieldsUsage count="1">
        <fieldUsage x="0"/>
      </fieldsUsage>
      <extLst>
        <ext xmlns:x15="http://schemas.microsoft.com/office/spreadsheetml/2010/11/main" uri="{B97F6D7D-B522-45F9-BDA1-12C45D357490}">
          <x15:cacheHierarchy aggregatedColumn="8"/>
        </ext>
      </extLst>
    </cacheHierarchy>
    <cacheHierarchy uniqueName="[Measures].[Sum of Maintenance Cost (USDyear)]" caption="Sum of Maintenance Cost (USDyear)" measure="1" displayFolder="" measureGroup="Table1" count="0">
      <extLst>
        <ext xmlns:x15="http://schemas.microsoft.com/office/spreadsheetml/2010/11/main" uri="{B97F6D7D-B522-45F9-BDA1-12C45D357490}">
          <x15:cacheHierarchy aggregatedColumn="17"/>
        </ext>
      </extLst>
    </cacheHierarchy>
    <cacheHierarchy uniqueName="[Measures].[Sum of Installation Cost (USD)]" caption="Sum of Installation Cost (USD)" measure="1" displayFolder="" measureGroup="Table1" count="0">
      <extLst>
        <ext xmlns:x15="http://schemas.microsoft.com/office/spreadsheetml/2010/11/main" uri="{B97F6D7D-B522-45F9-BDA1-12C45D357490}">
          <x15:cacheHierarchy aggregatedColumn="18"/>
        </ext>
      </extLst>
    </cacheHierarchy>
    <cacheHierarchy uniqueName="[Measures].[Sum of Warranty Period (Months)]" caption="Sum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Average of Warranty Period (Months)]" caption="Average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Count of Equipment]" caption="Count of Equipment" measure="1" displayFolder="" measureGroup="Table1" count="0">
      <extLst>
        <ext xmlns:x15="http://schemas.microsoft.com/office/spreadsheetml/2010/11/main" uri="{B97F6D7D-B522-45F9-BDA1-12C45D357490}">
          <x15:cacheHierarchy aggregatedColumn="5"/>
        </ext>
      </extLst>
    </cacheHierarchy>
    <cacheHierarchy uniqueName="[Measures].[Sum of Delivery Days]" caption="Sum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Delivery Days]" caption="Average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Installation Cost (USD)]" caption="Average of Installation Cost (USD)" measure="1" displayFolder="" measureGroup="Table1" count="0">
      <extLst>
        <ext xmlns:x15="http://schemas.microsoft.com/office/spreadsheetml/2010/11/main" uri="{B97F6D7D-B522-45F9-BDA1-12C45D357490}">
          <x15:cacheHierarchy aggregatedColumn="18"/>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P" refreshedDate="46225.033671064812" backgroundQuery="1" createdVersion="5" refreshedVersion="5" minRefreshableVersion="3" recordCount="0" supportSubquery="1" supportAdvancedDrill="1">
  <cacheSource type="external" connectionId="1"/>
  <cacheFields count="1">
    <cacheField name="[Measures].[Sum of Maintenance Cost (USDyear)]" caption="Sum of Maintenance Cost (USDyear)" numFmtId="0" hierarchy="28" level="32767"/>
  </cacheFields>
  <cacheHierarchies count="38">
    <cacheHierarchy uniqueName="[Table1].[Serial No]" caption="Serial No" attribute="1" defaultMemberUniqueName="[Table1].[Serial No].[All]" allUniqueName="[Table1].[Serial No].[All]" dimensionUniqueName="[Table1]" displayFolder="" count="0" memberValueDatatype="20" unbalanced="0"/>
    <cacheHierarchy uniqueName="[Table1].[Hospital]" caption="Hospital" attribute="1" defaultMemberUniqueName="[Table1].[Hospital].[All]" allUniqueName="[Table1].[Hospital].[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quipment]" caption="Equipment" attribute="1" defaultMemberUniqueName="[Table1].[Equipment].[All]" allUniqueName="[Table1].[Equipmen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USD)]" caption="Unit Price (USD)" attribute="1" defaultMemberUniqueName="[Table1].[Unit Price (USD)].[All]" allUniqueName="[Table1].[Unit Price (USD)].[All]" dimensionUniqueName="[Table1]" displayFolder="" count="0" memberValueDatatype="20" unbalanced="0"/>
    <cacheHierarchy uniqueName="[Table1].[Supplier]" caption="Supplier" attribute="1" defaultMemberUniqueName="[Table1].[Supplier].[All]" allUniqueName="[Table1].[Supplier].[All]" dimensionUniqueName="[Table1]" displayFolder="" count="0" memberValueDatatype="130" unbalanced="0"/>
    <cacheHierarchy uniqueName="[Table1].[Supplier Contact]" caption="Supplier Contact" attribute="1" defaultMemberUniqueName="[Table1].[Supplier Contact].[All]" allUniqueName="[Table1].[Supplier Contact].[All]" dimensionUniqueName="[Table1]" displayFolder="" count="0" memberValueDatatype="130" unbalanced="0"/>
    <cacheHierarchy uniqueName="[Table1].[Supplier Phone]" caption="Supplier Phone" attribute="1" defaultMemberUniqueName="[Table1].[Supplier Phone].[All]" allUniqueName="[Table1].[Supplier Phone].[All]" dimensionUniqueName="[Table1]" displayFolder="" count="0" memberValueDatatype="5" unbalanced="0"/>
    <cacheHierarchy uniqueName="[Table1].[Supplier Email]" caption="Supplier Email" attribute="1" defaultMemberUniqueName="[Table1].[Supplier Email].[All]" allUniqueName="[Table1].[Supplier Email].[All]" dimensionUniqueName="[Table1]" displayFolder="" count="0" memberValueDatatype="130" unbalanced="0"/>
    <cacheHierarchy uniqueName="[Table1].[Supplier Country]" caption="Supplier Country" attribute="1" defaultMemberUniqueName="[Table1].[Supplier Country].[All]" allUniqueName="[Table1].[Supplier Country].[All]" dimensionUniqueName="[Table1]" displayFolder="" count="0" memberValueDatatype="130" unbalanced="0"/>
    <cacheHierarchy uniqueName="[Table1].[Date Ordered]" caption="Date Ordered" attribute="1" time="1" defaultMemberUniqueName="[Table1].[Date Ordered].[All]" allUniqueName="[Table1].[Date Ordered].[All]" dimensionUniqueName="[Table1]" displayFolder="" count="0" memberValueDatatype="7" unbalanced="0"/>
    <cacheHierarchy uniqueName="[Table1].[Date Delivered]" caption="Date Delivered" attribute="1" time="1" defaultMemberUniqueName="[Table1].[Date Delivered].[All]" allUniqueName="[Table1].[Date Delivered].[All]" dimensionUniqueName="[Table1]" displayFolder="" count="0" memberValueDatatype="7"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Warranty Period (Months)]" caption="Warranty Period (Months)" attribute="1" defaultMemberUniqueName="[Table1].[Warranty Period (Months)].[All]" allUniqueName="[Table1].[Warranty Period (Months)].[All]" dimensionUniqueName="[Table1]" displayFolder="" count="0" memberValueDatatype="20" unbalanced="0"/>
    <cacheHierarchy uniqueName="[Table1].[Maintenance Cost (USD/year)]" caption="Maintenance Cost (USD/year)" attribute="1" defaultMemberUniqueName="[Table1].[Maintenance Cost (USD/year)].[All]" allUniqueName="[Table1].[Maintenance Cost (USD/year)].[All]" dimensionUniqueName="[Table1]" displayFolder="" count="0" memberValueDatatype="20" unbalanced="0"/>
    <cacheHierarchy uniqueName="[Table1].[Installation Cost (USD)]" caption="Installation Cost (USD)" attribute="1" defaultMemberUniqueName="[Table1].[Installation Cost (USD)].[All]" allUniqueName="[Table1].[Installation Cost (USD)].[All]" dimensionUniqueName="[Table1]" displayFolder="" count="0" memberValueDatatype="20" unbalanced="0"/>
    <cacheHierarchy uniqueName="[Table1].[Total Procurement Cost]" caption="Total Procurement Cost" attribute="1" defaultMemberUniqueName="[Table1].[Total Procurement Cost].[All]" allUniqueName="[Table1].[Total Procuremen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Equipment Condition]" caption="Equipment Condition" attribute="1" defaultMemberUniqueName="[Table1].[Equipment Condition].[All]" allUniqueName="[Table1].[Equipment Condition].[All]" dimensionUniqueName="[Table1]" displayFolder="" count="0" memberValueDatatype="130" unbalanced="0"/>
    <cacheHierarchy uniqueName="[Table1].[Deliver Status]" caption="Deliver Status" attribute="1" defaultMemberUniqueName="[Table1].[Deliver Status].[All]" allUniqueName="[Table1].[Deliver Status].[All]" dimensionUniqueName="[Table1]" displayFolder="" count="0" memberValueDatatype="130" unbalanced="0"/>
    <cacheHierarchy uniqueName="[Table1].[Warranty Category]" caption="Warranty Category" attribute="1" defaultMemberUniqueName="[Table1].[Warranty Category].[All]" allUniqueName="[Table1].[Warranty Category].[All]" dimensionUniqueName="[Table1]" displayFolder="" count="0" memberValueDatatype="130" unbalanced="0"/>
    <cacheHierarchy uniqueName="[Measures].[Sum of Total Procurement Cost]" caption="Sum of Total Procurement Cos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6"/>
        </ext>
      </extLst>
    </cacheHierarchy>
    <cacheHierarchy uniqueName="[Measures].[Count of Hospital]" caption="Count of Hospital" measure="1" displayFolder="" measureGroup="Table1" count="0">
      <extLst>
        <ext xmlns:x15="http://schemas.microsoft.com/office/spreadsheetml/2010/11/main" uri="{B97F6D7D-B522-45F9-BDA1-12C45D357490}">
          <x15:cacheHierarchy aggregatedColumn="1"/>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8"/>
        </ext>
      </extLst>
    </cacheHierarchy>
    <cacheHierarchy uniqueName="[Measures].[Sum of Maintenance Cost (USDyear)]" caption="Sum of Maintenance Cost (USDyear)" measure="1" displayFolder="" measureGroup="Table1" count="0" oneField="1">
      <fieldsUsage count="1">
        <fieldUsage x="0"/>
      </fieldsUsage>
      <extLst>
        <ext xmlns:x15="http://schemas.microsoft.com/office/spreadsheetml/2010/11/main" uri="{B97F6D7D-B522-45F9-BDA1-12C45D357490}">
          <x15:cacheHierarchy aggregatedColumn="17"/>
        </ext>
      </extLst>
    </cacheHierarchy>
    <cacheHierarchy uniqueName="[Measures].[Sum of Installation Cost (USD)]" caption="Sum of Installation Cost (USD)" measure="1" displayFolder="" measureGroup="Table1" count="0">
      <extLst>
        <ext xmlns:x15="http://schemas.microsoft.com/office/spreadsheetml/2010/11/main" uri="{B97F6D7D-B522-45F9-BDA1-12C45D357490}">
          <x15:cacheHierarchy aggregatedColumn="18"/>
        </ext>
      </extLst>
    </cacheHierarchy>
    <cacheHierarchy uniqueName="[Measures].[Sum of Warranty Period (Months)]" caption="Sum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Average of Warranty Period (Months)]" caption="Average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Count of Equipment]" caption="Count of Equipment" measure="1" displayFolder="" measureGroup="Table1" count="0">
      <extLst>
        <ext xmlns:x15="http://schemas.microsoft.com/office/spreadsheetml/2010/11/main" uri="{B97F6D7D-B522-45F9-BDA1-12C45D357490}">
          <x15:cacheHierarchy aggregatedColumn="5"/>
        </ext>
      </extLst>
    </cacheHierarchy>
    <cacheHierarchy uniqueName="[Measures].[Sum of Delivery Days]" caption="Sum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Delivery Days]" caption="Average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Installation Cost (USD)]" caption="Average of Installation Cost (USD)" measure="1" displayFolder="" measureGroup="Table1" count="0">
      <extLst>
        <ext xmlns:x15="http://schemas.microsoft.com/office/spreadsheetml/2010/11/main" uri="{B97F6D7D-B522-45F9-BDA1-12C45D357490}">
          <x15:cacheHierarchy aggregatedColumn="18"/>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HP" refreshedDate="46225.033672569443" backgroundQuery="1" createdVersion="5" refreshedVersion="5" minRefreshableVersion="3" recordCount="0" supportSubquery="1" supportAdvancedDrill="1">
  <cacheSource type="external" connectionId="1"/>
  <cacheFields count="1">
    <cacheField name="[Measures].[Sum of Installation Cost (USD)]" caption="Sum of Installation Cost (USD)" numFmtId="0" hierarchy="29" level="32767"/>
  </cacheFields>
  <cacheHierarchies count="38">
    <cacheHierarchy uniqueName="[Table1].[Serial No]" caption="Serial No" attribute="1" defaultMemberUniqueName="[Table1].[Serial No].[All]" allUniqueName="[Table1].[Serial No].[All]" dimensionUniqueName="[Table1]" displayFolder="" count="0" memberValueDatatype="20" unbalanced="0"/>
    <cacheHierarchy uniqueName="[Table1].[Hospital]" caption="Hospital" attribute="1" defaultMemberUniqueName="[Table1].[Hospital].[All]" allUniqueName="[Table1].[Hospital].[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quipment]" caption="Equipment" attribute="1" defaultMemberUniqueName="[Table1].[Equipment].[All]" allUniqueName="[Table1].[Equipmen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USD)]" caption="Unit Price (USD)" attribute="1" defaultMemberUniqueName="[Table1].[Unit Price (USD)].[All]" allUniqueName="[Table1].[Unit Price (USD)].[All]" dimensionUniqueName="[Table1]" displayFolder="" count="0" memberValueDatatype="20" unbalanced="0"/>
    <cacheHierarchy uniqueName="[Table1].[Supplier]" caption="Supplier" attribute="1" defaultMemberUniqueName="[Table1].[Supplier].[All]" allUniqueName="[Table1].[Supplier].[All]" dimensionUniqueName="[Table1]" displayFolder="" count="0" memberValueDatatype="130" unbalanced="0"/>
    <cacheHierarchy uniqueName="[Table1].[Supplier Contact]" caption="Supplier Contact" attribute="1" defaultMemberUniqueName="[Table1].[Supplier Contact].[All]" allUniqueName="[Table1].[Supplier Contact].[All]" dimensionUniqueName="[Table1]" displayFolder="" count="0" memberValueDatatype="130" unbalanced="0"/>
    <cacheHierarchy uniqueName="[Table1].[Supplier Phone]" caption="Supplier Phone" attribute="1" defaultMemberUniqueName="[Table1].[Supplier Phone].[All]" allUniqueName="[Table1].[Supplier Phone].[All]" dimensionUniqueName="[Table1]" displayFolder="" count="0" memberValueDatatype="5" unbalanced="0"/>
    <cacheHierarchy uniqueName="[Table1].[Supplier Email]" caption="Supplier Email" attribute="1" defaultMemberUniqueName="[Table1].[Supplier Email].[All]" allUniqueName="[Table1].[Supplier Email].[All]" dimensionUniqueName="[Table1]" displayFolder="" count="0" memberValueDatatype="130" unbalanced="0"/>
    <cacheHierarchy uniqueName="[Table1].[Supplier Country]" caption="Supplier Country" attribute="1" defaultMemberUniqueName="[Table1].[Supplier Country].[All]" allUniqueName="[Table1].[Supplier Country].[All]" dimensionUniqueName="[Table1]" displayFolder="" count="0" memberValueDatatype="130" unbalanced="0"/>
    <cacheHierarchy uniqueName="[Table1].[Date Ordered]" caption="Date Ordered" attribute="1" time="1" defaultMemberUniqueName="[Table1].[Date Ordered].[All]" allUniqueName="[Table1].[Date Ordered].[All]" dimensionUniqueName="[Table1]" displayFolder="" count="0" memberValueDatatype="7" unbalanced="0"/>
    <cacheHierarchy uniqueName="[Table1].[Date Delivered]" caption="Date Delivered" attribute="1" time="1" defaultMemberUniqueName="[Table1].[Date Delivered].[All]" allUniqueName="[Table1].[Date Delivered].[All]" dimensionUniqueName="[Table1]" displayFolder="" count="0" memberValueDatatype="7"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Warranty Period (Months)]" caption="Warranty Period (Months)" attribute="1" defaultMemberUniqueName="[Table1].[Warranty Period (Months)].[All]" allUniqueName="[Table1].[Warranty Period (Months)].[All]" dimensionUniqueName="[Table1]" displayFolder="" count="0" memberValueDatatype="20" unbalanced="0"/>
    <cacheHierarchy uniqueName="[Table1].[Maintenance Cost (USD/year)]" caption="Maintenance Cost (USD/year)" attribute="1" defaultMemberUniqueName="[Table1].[Maintenance Cost (USD/year)].[All]" allUniqueName="[Table1].[Maintenance Cost (USD/year)].[All]" dimensionUniqueName="[Table1]" displayFolder="" count="0" memberValueDatatype="20" unbalanced="0"/>
    <cacheHierarchy uniqueName="[Table1].[Installation Cost (USD)]" caption="Installation Cost (USD)" attribute="1" defaultMemberUniqueName="[Table1].[Installation Cost (USD)].[All]" allUniqueName="[Table1].[Installation Cost (USD)].[All]" dimensionUniqueName="[Table1]" displayFolder="" count="0" memberValueDatatype="20" unbalanced="0"/>
    <cacheHierarchy uniqueName="[Table1].[Total Procurement Cost]" caption="Total Procurement Cost" attribute="1" defaultMemberUniqueName="[Table1].[Total Procurement Cost].[All]" allUniqueName="[Table1].[Total Procuremen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Equipment Condition]" caption="Equipment Condition" attribute="1" defaultMemberUniqueName="[Table1].[Equipment Condition].[All]" allUniqueName="[Table1].[Equipment Condition].[All]" dimensionUniqueName="[Table1]" displayFolder="" count="0" memberValueDatatype="130" unbalanced="0"/>
    <cacheHierarchy uniqueName="[Table1].[Deliver Status]" caption="Deliver Status" attribute="1" defaultMemberUniqueName="[Table1].[Deliver Status].[All]" allUniqueName="[Table1].[Deliver Status].[All]" dimensionUniqueName="[Table1]" displayFolder="" count="0" memberValueDatatype="130" unbalanced="0"/>
    <cacheHierarchy uniqueName="[Table1].[Warranty Category]" caption="Warranty Category" attribute="1" defaultMemberUniqueName="[Table1].[Warranty Category].[All]" allUniqueName="[Table1].[Warranty Category].[All]" dimensionUniqueName="[Table1]" displayFolder="" count="0" memberValueDatatype="130" unbalanced="0"/>
    <cacheHierarchy uniqueName="[Measures].[Sum of Total Procurement Cost]" caption="Sum of Total Procurement Cos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6"/>
        </ext>
      </extLst>
    </cacheHierarchy>
    <cacheHierarchy uniqueName="[Measures].[Count of Hospital]" caption="Count of Hospital" measure="1" displayFolder="" measureGroup="Table1" count="0">
      <extLst>
        <ext xmlns:x15="http://schemas.microsoft.com/office/spreadsheetml/2010/11/main" uri="{B97F6D7D-B522-45F9-BDA1-12C45D357490}">
          <x15:cacheHierarchy aggregatedColumn="1"/>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8"/>
        </ext>
      </extLst>
    </cacheHierarchy>
    <cacheHierarchy uniqueName="[Measures].[Sum of Maintenance Cost (USDyear)]" caption="Sum of Maintenance Cost (USDyear)" measure="1" displayFolder="" measureGroup="Table1" count="0">
      <extLst>
        <ext xmlns:x15="http://schemas.microsoft.com/office/spreadsheetml/2010/11/main" uri="{B97F6D7D-B522-45F9-BDA1-12C45D357490}">
          <x15:cacheHierarchy aggregatedColumn="17"/>
        </ext>
      </extLst>
    </cacheHierarchy>
    <cacheHierarchy uniqueName="[Measures].[Sum of Installation Cost (USD)]" caption="Sum of Installation Cost (USD)" measure="1" displayFolder="" measureGroup="Table1" count="0" oneField="1">
      <fieldsUsage count="1">
        <fieldUsage x="0"/>
      </fieldsUsage>
      <extLst>
        <ext xmlns:x15="http://schemas.microsoft.com/office/spreadsheetml/2010/11/main" uri="{B97F6D7D-B522-45F9-BDA1-12C45D357490}">
          <x15:cacheHierarchy aggregatedColumn="18"/>
        </ext>
      </extLst>
    </cacheHierarchy>
    <cacheHierarchy uniqueName="[Measures].[Sum of Warranty Period (Months)]" caption="Sum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Average of Warranty Period (Months)]" caption="Average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Count of Equipment]" caption="Count of Equipment" measure="1" displayFolder="" measureGroup="Table1" count="0">
      <extLst>
        <ext xmlns:x15="http://schemas.microsoft.com/office/spreadsheetml/2010/11/main" uri="{B97F6D7D-B522-45F9-BDA1-12C45D357490}">
          <x15:cacheHierarchy aggregatedColumn="5"/>
        </ext>
      </extLst>
    </cacheHierarchy>
    <cacheHierarchy uniqueName="[Measures].[Sum of Delivery Days]" caption="Sum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Delivery Days]" caption="Average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Installation Cost (USD)]" caption="Average of Installation Cost (USD)" measure="1" displayFolder="" measureGroup="Table1" count="0">
      <extLst>
        <ext xmlns:x15="http://schemas.microsoft.com/office/spreadsheetml/2010/11/main" uri="{B97F6D7D-B522-45F9-BDA1-12C45D357490}">
          <x15:cacheHierarchy aggregatedColumn="18"/>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HP" refreshedDate="46225.033673958336" backgroundQuery="1" createdVersion="5" refreshedVersion="5" minRefreshableVersion="3" recordCount="0" supportSubquery="1" supportAdvancedDrill="1">
  <cacheSource type="external" connectionId="1"/>
  <cacheFields count="1">
    <cacheField name="[Measures].[Average of Warranty Period (Months)]" caption="Average of Warranty Period (Months)" numFmtId="0" hierarchy="31" level="32767"/>
  </cacheFields>
  <cacheHierarchies count="38">
    <cacheHierarchy uniqueName="[Table1].[Serial No]" caption="Serial No" attribute="1" defaultMemberUniqueName="[Table1].[Serial No].[All]" allUniqueName="[Table1].[Serial No].[All]" dimensionUniqueName="[Table1]" displayFolder="" count="0" memberValueDatatype="20" unbalanced="0"/>
    <cacheHierarchy uniqueName="[Table1].[Hospital]" caption="Hospital" attribute="1" defaultMemberUniqueName="[Table1].[Hospital].[All]" allUniqueName="[Table1].[Hospital].[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quipment]" caption="Equipment" attribute="1" defaultMemberUniqueName="[Table1].[Equipment].[All]" allUniqueName="[Table1].[Equipmen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USD)]" caption="Unit Price (USD)" attribute="1" defaultMemberUniqueName="[Table1].[Unit Price (USD)].[All]" allUniqueName="[Table1].[Unit Price (USD)].[All]" dimensionUniqueName="[Table1]" displayFolder="" count="0" memberValueDatatype="20" unbalanced="0"/>
    <cacheHierarchy uniqueName="[Table1].[Supplier]" caption="Supplier" attribute="1" defaultMemberUniqueName="[Table1].[Supplier].[All]" allUniqueName="[Table1].[Supplier].[All]" dimensionUniqueName="[Table1]" displayFolder="" count="0" memberValueDatatype="130" unbalanced="0"/>
    <cacheHierarchy uniqueName="[Table1].[Supplier Contact]" caption="Supplier Contact" attribute="1" defaultMemberUniqueName="[Table1].[Supplier Contact].[All]" allUniqueName="[Table1].[Supplier Contact].[All]" dimensionUniqueName="[Table1]" displayFolder="" count="0" memberValueDatatype="130" unbalanced="0"/>
    <cacheHierarchy uniqueName="[Table1].[Supplier Phone]" caption="Supplier Phone" attribute="1" defaultMemberUniqueName="[Table1].[Supplier Phone].[All]" allUniqueName="[Table1].[Supplier Phone].[All]" dimensionUniqueName="[Table1]" displayFolder="" count="0" memberValueDatatype="5" unbalanced="0"/>
    <cacheHierarchy uniqueName="[Table1].[Supplier Email]" caption="Supplier Email" attribute="1" defaultMemberUniqueName="[Table1].[Supplier Email].[All]" allUniqueName="[Table1].[Supplier Email].[All]" dimensionUniqueName="[Table1]" displayFolder="" count="0" memberValueDatatype="130" unbalanced="0"/>
    <cacheHierarchy uniqueName="[Table1].[Supplier Country]" caption="Supplier Country" attribute="1" defaultMemberUniqueName="[Table1].[Supplier Country].[All]" allUniqueName="[Table1].[Supplier Country].[All]" dimensionUniqueName="[Table1]" displayFolder="" count="0" memberValueDatatype="130" unbalanced="0"/>
    <cacheHierarchy uniqueName="[Table1].[Date Ordered]" caption="Date Ordered" attribute="1" time="1" defaultMemberUniqueName="[Table1].[Date Ordered].[All]" allUniqueName="[Table1].[Date Ordered].[All]" dimensionUniqueName="[Table1]" displayFolder="" count="0" memberValueDatatype="7" unbalanced="0"/>
    <cacheHierarchy uniqueName="[Table1].[Date Delivered]" caption="Date Delivered" attribute="1" time="1" defaultMemberUniqueName="[Table1].[Date Delivered].[All]" allUniqueName="[Table1].[Date Delivered].[All]" dimensionUniqueName="[Table1]" displayFolder="" count="0" memberValueDatatype="7"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Warranty Period (Months)]" caption="Warranty Period (Months)" attribute="1" defaultMemberUniqueName="[Table1].[Warranty Period (Months)].[All]" allUniqueName="[Table1].[Warranty Period (Months)].[All]" dimensionUniqueName="[Table1]" displayFolder="" count="0" memberValueDatatype="20" unbalanced="0"/>
    <cacheHierarchy uniqueName="[Table1].[Maintenance Cost (USD/year)]" caption="Maintenance Cost (USD/year)" attribute="1" defaultMemberUniqueName="[Table1].[Maintenance Cost (USD/year)].[All]" allUniqueName="[Table1].[Maintenance Cost (USD/year)].[All]" dimensionUniqueName="[Table1]" displayFolder="" count="0" memberValueDatatype="20" unbalanced="0"/>
    <cacheHierarchy uniqueName="[Table1].[Installation Cost (USD)]" caption="Installation Cost (USD)" attribute="1" defaultMemberUniqueName="[Table1].[Installation Cost (USD)].[All]" allUniqueName="[Table1].[Installation Cost (USD)].[All]" dimensionUniqueName="[Table1]" displayFolder="" count="0" memberValueDatatype="20" unbalanced="0"/>
    <cacheHierarchy uniqueName="[Table1].[Total Procurement Cost]" caption="Total Procurement Cost" attribute="1" defaultMemberUniqueName="[Table1].[Total Procurement Cost].[All]" allUniqueName="[Table1].[Total Procuremen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Equipment Condition]" caption="Equipment Condition" attribute="1" defaultMemberUniqueName="[Table1].[Equipment Condition].[All]" allUniqueName="[Table1].[Equipment Condition].[All]" dimensionUniqueName="[Table1]" displayFolder="" count="0" memberValueDatatype="130" unbalanced="0"/>
    <cacheHierarchy uniqueName="[Table1].[Deliver Status]" caption="Deliver Status" attribute="1" defaultMemberUniqueName="[Table1].[Deliver Status].[All]" allUniqueName="[Table1].[Deliver Status].[All]" dimensionUniqueName="[Table1]" displayFolder="" count="0" memberValueDatatype="130" unbalanced="0"/>
    <cacheHierarchy uniqueName="[Table1].[Warranty Category]" caption="Warranty Category" attribute="1" defaultMemberUniqueName="[Table1].[Warranty Category].[All]" allUniqueName="[Table1].[Warranty Category].[All]" dimensionUniqueName="[Table1]" displayFolder="" count="0" memberValueDatatype="130" unbalanced="0"/>
    <cacheHierarchy uniqueName="[Measures].[Sum of Total Procurement Cost]" caption="Sum of Total Procurement Cos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6"/>
        </ext>
      </extLst>
    </cacheHierarchy>
    <cacheHierarchy uniqueName="[Measures].[Count of Hospital]" caption="Count of Hospital" measure="1" displayFolder="" measureGroup="Table1" count="0">
      <extLst>
        <ext xmlns:x15="http://schemas.microsoft.com/office/spreadsheetml/2010/11/main" uri="{B97F6D7D-B522-45F9-BDA1-12C45D357490}">
          <x15:cacheHierarchy aggregatedColumn="1"/>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8"/>
        </ext>
      </extLst>
    </cacheHierarchy>
    <cacheHierarchy uniqueName="[Measures].[Sum of Maintenance Cost (USDyear)]" caption="Sum of Maintenance Cost (USDyear)" measure="1" displayFolder="" measureGroup="Table1" count="0">
      <extLst>
        <ext xmlns:x15="http://schemas.microsoft.com/office/spreadsheetml/2010/11/main" uri="{B97F6D7D-B522-45F9-BDA1-12C45D357490}">
          <x15:cacheHierarchy aggregatedColumn="17"/>
        </ext>
      </extLst>
    </cacheHierarchy>
    <cacheHierarchy uniqueName="[Measures].[Sum of Installation Cost (USD)]" caption="Sum of Installation Cost (USD)" measure="1" displayFolder="" measureGroup="Table1" count="0">
      <extLst>
        <ext xmlns:x15="http://schemas.microsoft.com/office/spreadsheetml/2010/11/main" uri="{B97F6D7D-B522-45F9-BDA1-12C45D357490}">
          <x15:cacheHierarchy aggregatedColumn="18"/>
        </ext>
      </extLst>
    </cacheHierarchy>
    <cacheHierarchy uniqueName="[Measures].[Sum of Warranty Period (Months)]" caption="Sum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Average of Warranty Period (Months)]" caption="Average of Warranty Period (Months)" measure="1" displayFolder="" measureGroup="Table1" count="0" oneField="1">
      <fieldsUsage count="1">
        <fieldUsage x="0"/>
      </fieldsUsage>
      <extLst>
        <ext xmlns:x15="http://schemas.microsoft.com/office/spreadsheetml/2010/11/main" uri="{B97F6D7D-B522-45F9-BDA1-12C45D357490}">
          <x15:cacheHierarchy aggregatedColumn="16"/>
        </ext>
      </extLst>
    </cacheHierarchy>
    <cacheHierarchy uniqueName="[Measures].[Count of Equipment]" caption="Count of Equipment" measure="1" displayFolder="" measureGroup="Table1" count="0">
      <extLst>
        <ext xmlns:x15="http://schemas.microsoft.com/office/spreadsheetml/2010/11/main" uri="{B97F6D7D-B522-45F9-BDA1-12C45D357490}">
          <x15:cacheHierarchy aggregatedColumn="5"/>
        </ext>
      </extLst>
    </cacheHierarchy>
    <cacheHierarchy uniqueName="[Measures].[Sum of Delivery Days]" caption="Sum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Delivery Days]" caption="Average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Installation Cost (USD)]" caption="Average of Installation Cost (USD)" measure="1" displayFolder="" measureGroup="Table1" count="0">
      <extLst>
        <ext xmlns:x15="http://schemas.microsoft.com/office/spreadsheetml/2010/11/main" uri="{B97F6D7D-B522-45F9-BDA1-12C45D357490}">
          <x15:cacheHierarchy aggregatedColumn="18"/>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HP" refreshedDate="46225.033675578707" backgroundQuery="1" createdVersion="5" refreshedVersion="5" minRefreshableVersion="3" recordCount="0" supportSubquery="1" supportAdvancedDrill="1">
  <cacheSource type="external" connectionId="1"/>
  <cacheFields count="1">
    <cacheField name="[Measures].[Count of Equipment]" caption="Count of Equipment" numFmtId="0" hierarchy="32" level="32767"/>
  </cacheFields>
  <cacheHierarchies count="38">
    <cacheHierarchy uniqueName="[Table1].[Serial No]" caption="Serial No" attribute="1" defaultMemberUniqueName="[Table1].[Serial No].[All]" allUniqueName="[Table1].[Serial No].[All]" dimensionUniqueName="[Table1]" displayFolder="" count="0" memberValueDatatype="20" unbalanced="0"/>
    <cacheHierarchy uniqueName="[Table1].[Hospital]" caption="Hospital" attribute="1" defaultMemberUniqueName="[Table1].[Hospital].[All]" allUniqueName="[Table1].[Hospital].[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quipment]" caption="Equipment" attribute="1" defaultMemberUniqueName="[Table1].[Equipment].[All]" allUniqueName="[Table1].[Equipmen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USD)]" caption="Unit Price (USD)" attribute="1" defaultMemberUniqueName="[Table1].[Unit Price (USD)].[All]" allUniqueName="[Table1].[Unit Price (USD)].[All]" dimensionUniqueName="[Table1]" displayFolder="" count="0" memberValueDatatype="20" unbalanced="0"/>
    <cacheHierarchy uniqueName="[Table1].[Supplier]" caption="Supplier" attribute="1" defaultMemberUniqueName="[Table1].[Supplier].[All]" allUniqueName="[Table1].[Supplier].[All]" dimensionUniqueName="[Table1]" displayFolder="" count="0" memberValueDatatype="130" unbalanced="0"/>
    <cacheHierarchy uniqueName="[Table1].[Supplier Contact]" caption="Supplier Contact" attribute="1" defaultMemberUniqueName="[Table1].[Supplier Contact].[All]" allUniqueName="[Table1].[Supplier Contact].[All]" dimensionUniqueName="[Table1]" displayFolder="" count="0" memberValueDatatype="130" unbalanced="0"/>
    <cacheHierarchy uniqueName="[Table1].[Supplier Phone]" caption="Supplier Phone" attribute="1" defaultMemberUniqueName="[Table1].[Supplier Phone].[All]" allUniqueName="[Table1].[Supplier Phone].[All]" dimensionUniqueName="[Table1]" displayFolder="" count="0" memberValueDatatype="5" unbalanced="0"/>
    <cacheHierarchy uniqueName="[Table1].[Supplier Email]" caption="Supplier Email" attribute="1" defaultMemberUniqueName="[Table1].[Supplier Email].[All]" allUniqueName="[Table1].[Supplier Email].[All]" dimensionUniqueName="[Table1]" displayFolder="" count="0" memberValueDatatype="130" unbalanced="0"/>
    <cacheHierarchy uniqueName="[Table1].[Supplier Country]" caption="Supplier Country" attribute="1" defaultMemberUniqueName="[Table1].[Supplier Country].[All]" allUniqueName="[Table1].[Supplier Country].[All]" dimensionUniqueName="[Table1]" displayFolder="" count="0" memberValueDatatype="130" unbalanced="0"/>
    <cacheHierarchy uniqueName="[Table1].[Date Ordered]" caption="Date Ordered" attribute="1" time="1" defaultMemberUniqueName="[Table1].[Date Ordered].[All]" allUniqueName="[Table1].[Date Ordered].[All]" dimensionUniqueName="[Table1]" displayFolder="" count="0" memberValueDatatype="7" unbalanced="0"/>
    <cacheHierarchy uniqueName="[Table1].[Date Delivered]" caption="Date Delivered" attribute="1" time="1" defaultMemberUniqueName="[Table1].[Date Delivered].[All]" allUniqueName="[Table1].[Date Delivered].[All]" dimensionUniqueName="[Table1]" displayFolder="" count="0" memberValueDatatype="7"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Warranty Period (Months)]" caption="Warranty Period (Months)" attribute="1" defaultMemberUniqueName="[Table1].[Warranty Period (Months)].[All]" allUniqueName="[Table1].[Warranty Period (Months)].[All]" dimensionUniqueName="[Table1]" displayFolder="" count="0" memberValueDatatype="20" unbalanced="0"/>
    <cacheHierarchy uniqueName="[Table1].[Maintenance Cost (USD/year)]" caption="Maintenance Cost (USD/year)" attribute="1" defaultMemberUniqueName="[Table1].[Maintenance Cost (USD/year)].[All]" allUniqueName="[Table1].[Maintenance Cost (USD/year)].[All]" dimensionUniqueName="[Table1]" displayFolder="" count="0" memberValueDatatype="20" unbalanced="0"/>
    <cacheHierarchy uniqueName="[Table1].[Installation Cost (USD)]" caption="Installation Cost (USD)" attribute="1" defaultMemberUniqueName="[Table1].[Installation Cost (USD)].[All]" allUniqueName="[Table1].[Installation Cost (USD)].[All]" dimensionUniqueName="[Table1]" displayFolder="" count="0" memberValueDatatype="20" unbalanced="0"/>
    <cacheHierarchy uniqueName="[Table1].[Total Procurement Cost]" caption="Total Procurement Cost" attribute="1" defaultMemberUniqueName="[Table1].[Total Procurement Cost].[All]" allUniqueName="[Table1].[Total Procuremen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Equipment Condition]" caption="Equipment Condition" attribute="1" defaultMemberUniqueName="[Table1].[Equipment Condition].[All]" allUniqueName="[Table1].[Equipment Condition].[All]" dimensionUniqueName="[Table1]" displayFolder="" count="0" memberValueDatatype="130" unbalanced="0"/>
    <cacheHierarchy uniqueName="[Table1].[Deliver Status]" caption="Deliver Status" attribute="1" defaultMemberUniqueName="[Table1].[Deliver Status].[All]" allUniqueName="[Table1].[Deliver Status].[All]" dimensionUniqueName="[Table1]" displayFolder="" count="0" memberValueDatatype="130" unbalanced="0"/>
    <cacheHierarchy uniqueName="[Table1].[Warranty Category]" caption="Warranty Category" attribute="1" defaultMemberUniqueName="[Table1].[Warranty Category].[All]" allUniqueName="[Table1].[Warranty Category].[All]" dimensionUniqueName="[Table1]" displayFolder="" count="0" memberValueDatatype="130" unbalanced="0"/>
    <cacheHierarchy uniqueName="[Measures].[Sum of Total Procurement Cost]" caption="Sum of Total Procurement Cos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6"/>
        </ext>
      </extLst>
    </cacheHierarchy>
    <cacheHierarchy uniqueName="[Measures].[Count of Hospital]" caption="Count of Hospital" measure="1" displayFolder="" measureGroup="Table1" count="0">
      <extLst>
        <ext xmlns:x15="http://schemas.microsoft.com/office/spreadsheetml/2010/11/main" uri="{B97F6D7D-B522-45F9-BDA1-12C45D357490}">
          <x15:cacheHierarchy aggregatedColumn="1"/>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8"/>
        </ext>
      </extLst>
    </cacheHierarchy>
    <cacheHierarchy uniqueName="[Measures].[Sum of Maintenance Cost (USDyear)]" caption="Sum of Maintenance Cost (USDyear)" measure="1" displayFolder="" measureGroup="Table1" count="0">
      <extLst>
        <ext xmlns:x15="http://schemas.microsoft.com/office/spreadsheetml/2010/11/main" uri="{B97F6D7D-B522-45F9-BDA1-12C45D357490}">
          <x15:cacheHierarchy aggregatedColumn="17"/>
        </ext>
      </extLst>
    </cacheHierarchy>
    <cacheHierarchy uniqueName="[Measures].[Sum of Installation Cost (USD)]" caption="Sum of Installation Cost (USD)" measure="1" displayFolder="" measureGroup="Table1" count="0">
      <extLst>
        <ext xmlns:x15="http://schemas.microsoft.com/office/spreadsheetml/2010/11/main" uri="{B97F6D7D-B522-45F9-BDA1-12C45D357490}">
          <x15:cacheHierarchy aggregatedColumn="18"/>
        </ext>
      </extLst>
    </cacheHierarchy>
    <cacheHierarchy uniqueName="[Measures].[Sum of Warranty Period (Months)]" caption="Sum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Average of Warranty Period (Months)]" caption="Average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Count of Equipment]" caption="Count of Equipment" measure="1" displayFolder="" measureGroup="Table1" count="0" oneField="1">
      <fieldsUsage count="1">
        <fieldUsage x="0"/>
      </fieldsUsage>
      <extLst>
        <ext xmlns:x15="http://schemas.microsoft.com/office/spreadsheetml/2010/11/main" uri="{B97F6D7D-B522-45F9-BDA1-12C45D357490}">
          <x15:cacheHierarchy aggregatedColumn="5"/>
        </ext>
      </extLst>
    </cacheHierarchy>
    <cacheHierarchy uniqueName="[Measures].[Sum of Delivery Days]" caption="Sum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Delivery Days]" caption="Average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Installation Cost (USD)]" caption="Average of Installation Cost (USD)" measure="1" displayFolder="" measureGroup="Table1" count="0">
      <extLst>
        <ext xmlns:x15="http://schemas.microsoft.com/office/spreadsheetml/2010/11/main" uri="{B97F6D7D-B522-45F9-BDA1-12C45D357490}">
          <x15:cacheHierarchy aggregatedColumn="18"/>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HP" refreshedDate="46225.033676851854" backgroundQuery="1" createdVersion="5" refreshedVersion="5" minRefreshableVersion="3" recordCount="0" supportSubquery="1" supportAdvancedDrill="1">
  <cacheSource type="external" connectionId="1"/>
  <cacheFields count="2">
    <cacheField name="[Table1].[Hospital].[Hospital]" caption="Hospital" numFmtId="0" hierarchy="1" level="1">
      <sharedItems count="15">
        <s v=" Abeokuta General Hospital"/>
        <s v=" Bauchi National Hospital"/>
        <s v=" Benin City General Hospital"/>
        <s v=" Dutse General Hospital"/>
        <s v=" Egbe Specialist"/>
        <s v=" Gusau General Hospital"/>
        <s v=" Ifo Medical"/>
        <s v=" Iragbiji Hospital"/>
        <s v=" Kaduna National Hospital"/>
        <s v=" Keffi Federal Medical Center"/>
        <s v=" Makurdi General Hospital"/>
        <s v=" Minna Federal Medical Center"/>
        <s v=" Port Harcourt General"/>
        <s v=" Umuahia General Hospital"/>
        <s v=" Yenagoa Medical Center"/>
      </sharedItems>
    </cacheField>
    <cacheField name="[Measures].[Sum of Total Procurement Cost]" caption="Sum of Total Procurement Cost" numFmtId="0" hierarchy="24" level="32767"/>
  </cacheFields>
  <cacheHierarchies count="38">
    <cacheHierarchy uniqueName="[Table1].[Serial No]" caption="Serial No" attribute="1" defaultMemberUniqueName="[Table1].[Serial No].[All]" allUniqueName="[Table1].[Serial No].[All]" dimensionUniqueName="[Table1]" displayFolder="" count="0" memberValueDatatype="20" unbalanced="0"/>
    <cacheHierarchy uniqueName="[Table1].[Hospital]" caption="Hospital" attribute="1" defaultMemberUniqueName="[Table1].[Hospital].[All]" allUniqueName="[Table1].[Hospital].[All]" dimensionUniqueName="[Table1]" displayFolder="" count="2" memberValueDatatype="130" unbalanced="0">
      <fieldsUsage count="2">
        <fieldUsage x="-1"/>
        <fieldUsage x="0"/>
      </fieldsUsage>
    </cacheHierarchy>
    <cacheHierarchy uniqueName="[Table1].[State]" caption="State" attribute="1" defaultMemberUniqueName="[Table1].[State].[All]" allUniqueName="[Table1].[Stat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quipment]" caption="Equipment" attribute="1" defaultMemberUniqueName="[Table1].[Equipment].[All]" allUniqueName="[Table1].[Equipmen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USD)]" caption="Unit Price (USD)" attribute="1" defaultMemberUniqueName="[Table1].[Unit Price (USD)].[All]" allUniqueName="[Table1].[Unit Price (USD)].[All]" dimensionUniqueName="[Table1]" displayFolder="" count="0" memberValueDatatype="20" unbalanced="0"/>
    <cacheHierarchy uniqueName="[Table1].[Supplier]" caption="Supplier" attribute="1" defaultMemberUniqueName="[Table1].[Supplier].[All]" allUniqueName="[Table1].[Supplier].[All]" dimensionUniqueName="[Table1]" displayFolder="" count="0" memberValueDatatype="130" unbalanced="0"/>
    <cacheHierarchy uniqueName="[Table1].[Supplier Contact]" caption="Supplier Contact" attribute="1" defaultMemberUniqueName="[Table1].[Supplier Contact].[All]" allUniqueName="[Table1].[Supplier Contact].[All]" dimensionUniqueName="[Table1]" displayFolder="" count="0" memberValueDatatype="130" unbalanced="0"/>
    <cacheHierarchy uniqueName="[Table1].[Supplier Phone]" caption="Supplier Phone" attribute="1" defaultMemberUniqueName="[Table1].[Supplier Phone].[All]" allUniqueName="[Table1].[Supplier Phone].[All]" dimensionUniqueName="[Table1]" displayFolder="" count="0" memberValueDatatype="5" unbalanced="0"/>
    <cacheHierarchy uniqueName="[Table1].[Supplier Email]" caption="Supplier Email" attribute="1" defaultMemberUniqueName="[Table1].[Supplier Email].[All]" allUniqueName="[Table1].[Supplier Email].[All]" dimensionUniqueName="[Table1]" displayFolder="" count="0" memberValueDatatype="130" unbalanced="0"/>
    <cacheHierarchy uniqueName="[Table1].[Supplier Country]" caption="Supplier Country" attribute="1" defaultMemberUniqueName="[Table1].[Supplier Country].[All]" allUniqueName="[Table1].[Supplier Country].[All]" dimensionUniqueName="[Table1]" displayFolder="" count="0" memberValueDatatype="130" unbalanced="0"/>
    <cacheHierarchy uniqueName="[Table1].[Date Ordered]" caption="Date Ordered" attribute="1" time="1" defaultMemberUniqueName="[Table1].[Date Ordered].[All]" allUniqueName="[Table1].[Date Ordered].[All]" dimensionUniqueName="[Table1]" displayFolder="" count="0" memberValueDatatype="7" unbalanced="0"/>
    <cacheHierarchy uniqueName="[Table1].[Date Delivered]" caption="Date Delivered" attribute="1" time="1" defaultMemberUniqueName="[Table1].[Date Delivered].[All]" allUniqueName="[Table1].[Date Delivered].[All]" dimensionUniqueName="[Table1]" displayFolder="" count="0" memberValueDatatype="7"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Warranty Period (Months)]" caption="Warranty Period (Months)" attribute="1" defaultMemberUniqueName="[Table1].[Warranty Period (Months)].[All]" allUniqueName="[Table1].[Warranty Period (Months)].[All]" dimensionUniqueName="[Table1]" displayFolder="" count="0" memberValueDatatype="20" unbalanced="0"/>
    <cacheHierarchy uniqueName="[Table1].[Maintenance Cost (USD/year)]" caption="Maintenance Cost (USD/year)" attribute="1" defaultMemberUniqueName="[Table1].[Maintenance Cost (USD/year)].[All]" allUniqueName="[Table1].[Maintenance Cost (USD/year)].[All]" dimensionUniqueName="[Table1]" displayFolder="" count="0" memberValueDatatype="20" unbalanced="0"/>
    <cacheHierarchy uniqueName="[Table1].[Installation Cost (USD)]" caption="Installation Cost (USD)" attribute="1" defaultMemberUniqueName="[Table1].[Installation Cost (USD)].[All]" allUniqueName="[Table1].[Installation Cost (USD)].[All]" dimensionUniqueName="[Table1]" displayFolder="" count="0" memberValueDatatype="20" unbalanced="0"/>
    <cacheHierarchy uniqueName="[Table1].[Total Procurement Cost]" caption="Total Procurement Cost" attribute="1" defaultMemberUniqueName="[Table1].[Total Procurement Cost].[All]" allUniqueName="[Table1].[Total Procuremen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Equipment Condition]" caption="Equipment Condition" attribute="1" defaultMemberUniqueName="[Table1].[Equipment Condition].[All]" allUniqueName="[Table1].[Equipment Condition].[All]" dimensionUniqueName="[Table1]" displayFolder="" count="0" memberValueDatatype="130" unbalanced="0"/>
    <cacheHierarchy uniqueName="[Table1].[Deliver Status]" caption="Deliver Status" attribute="1" defaultMemberUniqueName="[Table1].[Deliver Status].[All]" allUniqueName="[Table1].[Deliver Status].[All]" dimensionUniqueName="[Table1]" displayFolder="" count="0" memberValueDatatype="130" unbalanced="0"/>
    <cacheHierarchy uniqueName="[Table1].[Warranty Category]" caption="Warranty Category" attribute="1" defaultMemberUniqueName="[Table1].[Warranty Category].[All]" allUniqueName="[Table1].[Warranty Category].[All]" dimensionUniqueName="[Table1]" displayFolder="" count="0" memberValueDatatype="130" unbalanced="0"/>
    <cacheHierarchy uniqueName="[Measures].[Sum of Total Procurement Cost]" caption="Sum of Total Procurement Cost" measure="1" displayFolder="" measureGroup="Table1" count="0" oneField="1">
      <fieldsUsage count="1">
        <fieldUsage x="1"/>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6"/>
        </ext>
      </extLst>
    </cacheHierarchy>
    <cacheHierarchy uniqueName="[Measures].[Count of Hospital]" caption="Count of Hospital" measure="1" displayFolder="" measureGroup="Table1" count="0">
      <extLst>
        <ext xmlns:x15="http://schemas.microsoft.com/office/spreadsheetml/2010/11/main" uri="{B97F6D7D-B522-45F9-BDA1-12C45D357490}">
          <x15:cacheHierarchy aggregatedColumn="1"/>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8"/>
        </ext>
      </extLst>
    </cacheHierarchy>
    <cacheHierarchy uniqueName="[Measures].[Sum of Maintenance Cost (USDyear)]" caption="Sum of Maintenance Cost (USDyear)" measure="1" displayFolder="" measureGroup="Table1" count="0">
      <extLst>
        <ext xmlns:x15="http://schemas.microsoft.com/office/spreadsheetml/2010/11/main" uri="{B97F6D7D-B522-45F9-BDA1-12C45D357490}">
          <x15:cacheHierarchy aggregatedColumn="17"/>
        </ext>
      </extLst>
    </cacheHierarchy>
    <cacheHierarchy uniqueName="[Measures].[Sum of Installation Cost (USD)]" caption="Sum of Installation Cost (USD)" measure="1" displayFolder="" measureGroup="Table1" count="0">
      <extLst>
        <ext xmlns:x15="http://schemas.microsoft.com/office/spreadsheetml/2010/11/main" uri="{B97F6D7D-B522-45F9-BDA1-12C45D357490}">
          <x15:cacheHierarchy aggregatedColumn="18"/>
        </ext>
      </extLst>
    </cacheHierarchy>
    <cacheHierarchy uniqueName="[Measures].[Sum of Warranty Period (Months)]" caption="Sum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Average of Warranty Period (Months)]" caption="Average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Count of Equipment]" caption="Count of Equipment" measure="1" displayFolder="" measureGroup="Table1" count="0">
      <extLst>
        <ext xmlns:x15="http://schemas.microsoft.com/office/spreadsheetml/2010/11/main" uri="{B97F6D7D-B522-45F9-BDA1-12C45D357490}">
          <x15:cacheHierarchy aggregatedColumn="5"/>
        </ext>
      </extLst>
    </cacheHierarchy>
    <cacheHierarchy uniqueName="[Measures].[Sum of Delivery Days]" caption="Sum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Delivery Days]" caption="Average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Installation Cost (USD)]" caption="Average of Installation Cost (USD)" measure="1" displayFolder="" measureGroup="Table1" count="0">
      <extLst>
        <ext xmlns:x15="http://schemas.microsoft.com/office/spreadsheetml/2010/11/main" uri="{B97F6D7D-B522-45F9-BDA1-12C45D357490}">
          <x15:cacheHierarchy aggregatedColumn="18"/>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HP" refreshedDate="46225.039724884256" backgroundQuery="1" createdVersion="5" refreshedVersion="5" minRefreshableVersion="3" recordCount="0" supportSubquery="1" supportAdvancedDrill="1">
  <cacheSource type="external" connectionId="1"/>
  <cacheFields count="3">
    <cacheField name="[Table1].[Hospital].[Hospital]" caption="Hospital" numFmtId="0" hierarchy="1" level="1">
      <sharedItems containsSemiMixedTypes="0" containsNonDate="0" containsString="0"/>
    </cacheField>
    <cacheField name="[Table1].[State].[State]" caption="State" numFmtId="0" hierarchy="2" level="1">
      <sharedItems count="20">
        <s v=" Abia"/>
        <s v=" Abuja"/>
        <s v=" Anambra"/>
        <s v=" Bauchi"/>
        <s v=" Bayelsa"/>
        <s v=" Benue"/>
        <s v=" Cross River"/>
        <s v=" Edo"/>
        <s v=" Enugu"/>
        <s v=" Imo"/>
        <s v=" Kaduna"/>
        <s v=" Kogi"/>
        <s v=" Nasarawa"/>
        <s v=" Niger"/>
        <s v=" Ogun"/>
        <s v=" Osun"/>
        <s v=" Oyo"/>
        <s v=" Rivers"/>
        <s v=" Sokoto"/>
        <s v=" Zamfara"/>
      </sharedItems>
    </cacheField>
    <cacheField name="[Measures].[Sum of Installation Cost (USD)]" caption="Sum of Installation Cost (USD)" numFmtId="0" hierarchy="29" level="32767"/>
  </cacheFields>
  <cacheHierarchies count="38">
    <cacheHierarchy uniqueName="[Table1].[Serial No]" caption="Serial No" attribute="1" defaultMemberUniqueName="[Table1].[Serial No].[All]" allUniqueName="[Table1].[Serial No].[All]" dimensionUniqueName="[Table1]" displayFolder="" count="0" memberValueDatatype="20" unbalanced="0"/>
    <cacheHierarchy uniqueName="[Table1].[Hospital]" caption="Hospital" attribute="1" defaultMemberUniqueName="[Table1].[Hospital].[All]" allUniqueName="[Table1].[Hospital].[All]" dimensionUniqueName="[Table1]" displayFolder="" count="2" memberValueDatatype="130" unbalanced="0">
      <fieldsUsage count="2">
        <fieldUsage x="-1"/>
        <fieldUsage x="0"/>
      </fieldsUsage>
    </cacheHierarchy>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Location]" caption="Location" attribute="1" defaultMemberUniqueName="[Table1].[Location].[All]" allUniqueName="[Table1].[Locat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quipment]" caption="Equipment" attribute="1" defaultMemberUniqueName="[Table1].[Equipment].[All]" allUniqueName="[Table1].[Equipmen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USD)]" caption="Unit Price (USD)" attribute="1" defaultMemberUniqueName="[Table1].[Unit Price (USD)].[All]" allUniqueName="[Table1].[Unit Price (USD)].[All]" dimensionUniqueName="[Table1]" displayFolder="" count="0" memberValueDatatype="20" unbalanced="0"/>
    <cacheHierarchy uniqueName="[Table1].[Supplier]" caption="Supplier" attribute="1" defaultMemberUniqueName="[Table1].[Supplier].[All]" allUniqueName="[Table1].[Supplier].[All]" dimensionUniqueName="[Table1]" displayFolder="" count="0" memberValueDatatype="130" unbalanced="0"/>
    <cacheHierarchy uniqueName="[Table1].[Supplier Contact]" caption="Supplier Contact" attribute="1" defaultMemberUniqueName="[Table1].[Supplier Contact].[All]" allUniqueName="[Table1].[Supplier Contact].[All]" dimensionUniqueName="[Table1]" displayFolder="" count="0" memberValueDatatype="130" unbalanced="0"/>
    <cacheHierarchy uniqueName="[Table1].[Supplier Phone]" caption="Supplier Phone" attribute="1" defaultMemberUniqueName="[Table1].[Supplier Phone].[All]" allUniqueName="[Table1].[Supplier Phone].[All]" dimensionUniqueName="[Table1]" displayFolder="" count="0" memberValueDatatype="5" unbalanced="0"/>
    <cacheHierarchy uniqueName="[Table1].[Supplier Email]" caption="Supplier Email" attribute="1" defaultMemberUniqueName="[Table1].[Supplier Email].[All]" allUniqueName="[Table1].[Supplier Email].[All]" dimensionUniqueName="[Table1]" displayFolder="" count="0" memberValueDatatype="130" unbalanced="0"/>
    <cacheHierarchy uniqueName="[Table1].[Supplier Country]" caption="Supplier Country" attribute="1" defaultMemberUniqueName="[Table1].[Supplier Country].[All]" allUniqueName="[Table1].[Supplier Country].[All]" dimensionUniqueName="[Table1]" displayFolder="" count="0" memberValueDatatype="130" unbalanced="0"/>
    <cacheHierarchy uniqueName="[Table1].[Date Ordered]" caption="Date Ordered" attribute="1" time="1" defaultMemberUniqueName="[Table1].[Date Ordered].[All]" allUniqueName="[Table1].[Date Ordered].[All]" dimensionUniqueName="[Table1]" displayFolder="" count="0" memberValueDatatype="7" unbalanced="0"/>
    <cacheHierarchy uniqueName="[Table1].[Date Delivered]" caption="Date Delivered" attribute="1" time="1" defaultMemberUniqueName="[Table1].[Date Delivered].[All]" allUniqueName="[Table1].[Date Delivered].[All]" dimensionUniqueName="[Table1]" displayFolder="" count="0" memberValueDatatype="7"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Warranty Period (Months)]" caption="Warranty Period (Months)" attribute="1" defaultMemberUniqueName="[Table1].[Warranty Period (Months)].[All]" allUniqueName="[Table1].[Warranty Period (Months)].[All]" dimensionUniqueName="[Table1]" displayFolder="" count="0" memberValueDatatype="20" unbalanced="0"/>
    <cacheHierarchy uniqueName="[Table1].[Maintenance Cost (USD/year)]" caption="Maintenance Cost (USD/year)" attribute="1" defaultMemberUniqueName="[Table1].[Maintenance Cost (USD/year)].[All]" allUniqueName="[Table1].[Maintenance Cost (USD/year)].[All]" dimensionUniqueName="[Table1]" displayFolder="" count="0" memberValueDatatype="20" unbalanced="0"/>
    <cacheHierarchy uniqueName="[Table1].[Installation Cost (USD)]" caption="Installation Cost (USD)" attribute="1" defaultMemberUniqueName="[Table1].[Installation Cost (USD)].[All]" allUniqueName="[Table1].[Installation Cost (USD)].[All]" dimensionUniqueName="[Table1]" displayFolder="" count="0" memberValueDatatype="20" unbalanced="0"/>
    <cacheHierarchy uniqueName="[Table1].[Total Procurement Cost]" caption="Total Procurement Cost" attribute="1" defaultMemberUniqueName="[Table1].[Total Procurement Cost].[All]" allUniqueName="[Table1].[Total Procuremen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Equipment Condition]" caption="Equipment Condition" attribute="1" defaultMemberUniqueName="[Table1].[Equipment Condition].[All]" allUniqueName="[Table1].[Equipment Condition].[All]" dimensionUniqueName="[Table1]" displayFolder="" count="0" memberValueDatatype="130" unbalanced="0"/>
    <cacheHierarchy uniqueName="[Table1].[Deliver Status]" caption="Deliver Status" attribute="1" defaultMemberUniqueName="[Table1].[Deliver Status].[All]" allUniqueName="[Table1].[Deliver Status].[All]" dimensionUniqueName="[Table1]" displayFolder="" count="0" memberValueDatatype="130" unbalanced="0"/>
    <cacheHierarchy uniqueName="[Table1].[Warranty Category]" caption="Warranty Category" attribute="1" defaultMemberUniqueName="[Table1].[Warranty Category].[All]" allUniqueName="[Table1].[Warranty Category].[All]" dimensionUniqueName="[Table1]" displayFolder="" count="0" memberValueDatatype="130" unbalanced="0"/>
    <cacheHierarchy uniqueName="[Measures].[Sum of Total Procurement Cost]" caption="Sum of Total Procurement Cos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6"/>
        </ext>
      </extLst>
    </cacheHierarchy>
    <cacheHierarchy uniqueName="[Measures].[Count of Hospital]" caption="Count of Hospital" measure="1" displayFolder="" measureGroup="Table1" count="0">
      <extLst>
        <ext xmlns:x15="http://schemas.microsoft.com/office/spreadsheetml/2010/11/main" uri="{B97F6D7D-B522-45F9-BDA1-12C45D357490}">
          <x15:cacheHierarchy aggregatedColumn="1"/>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8"/>
        </ext>
      </extLst>
    </cacheHierarchy>
    <cacheHierarchy uniqueName="[Measures].[Sum of Maintenance Cost (USDyear)]" caption="Sum of Maintenance Cost (USDyear)" measure="1" displayFolder="" measureGroup="Table1" count="0">
      <extLst>
        <ext xmlns:x15="http://schemas.microsoft.com/office/spreadsheetml/2010/11/main" uri="{B97F6D7D-B522-45F9-BDA1-12C45D357490}">
          <x15:cacheHierarchy aggregatedColumn="17"/>
        </ext>
      </extLst>
    </cacheHierarchy>
    <cacheHierarchy uniqueName="[Measures].[Sum of Installation Cost (USD)]" caption="Sum of Installation Cost (USD)" measure="1" displayFolder="" measureGroup="Table1" count="0" oneField="1">
      <fieldsUsage count="1">
        <fieldUsage x="2"/>
      </fieldsUsage>
      <extLst>
        <ext xmlns:x15="http://schemas.microsoft.com/office/spreadsheetml/2010/11/main" uri="{B97F6D7D-B522-45F9-BDA1-12C45D357490}">
          <x15:cacheHierarchy aggregatedColumn="18"/>
        </ext>
      </extLst>
    </cacheHierarchy>
    <cacheHierarchy uniqueName="[Measures].[Sum of Warranty Period (Months)]" caption="Sum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Average of Warranty Period (Months)]" caption="Average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Count of Equipment]" caption="Count of Equipment" measure="1" displayFolder="" measureGroup="Table1" count="0">
      <extLst>
        <ext xmlns:x15="http://schemas.microsoft.com/office/spreadsheetml/2010/11/main" uri="{B97F6D7D-B522-45F9-BDA1-12C45D357490}">
          <x15:cacheHierarchy aggregatedColumn="5"/>
        </ext>
      </extLst>
    </cacheHierarchy>
    <cacheHierarchy uniqueName="[Measures].[Sum of Delivery Days]" caption="Sum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Delivery Days]" caption="Average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Installation Cost (USD)]" caption="Average of Installation Cost (USD)" measure="1" displayFolder="" measureGroup="Table1" count="0">
      <extLst>
        <ext xmlns:x15="http://schemas.microsoft.com/office/spreadsheetml/2010/11/main" uri="{B97F6D7D-B522-45F9-BDA1-12C45D357490}">
          <x15:cacheHierarchy aggregatedColumn="18"/>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HP" refreshedDate="46226.270811458337" backgroundQuery="1" createdVersion="5" refreshedVersion="5" minRefreshableVersion="3" recordCount="0" supportSubquery="1" supportAdvancedDrill="1">
  <cacheSource type="external" connectionId="1"/>
  <cacheFields count="3">
    <cacheField name="[Table1].[Hospital].[Hospital]" caption="Hospital" numFmtId="0" hierarchy="1" level="1">
      <sharedItems count="15">
        <s v=" Abeokuta General Hospital"/>
        <s v=" Bauchi National Hospital"/>
        <s v=" Benin City General Hospital"/>
        <s v=" Dutse General Hospital"/>
        <s v=" Egbe Specialist"/>
        <s v=" Gusau General Hospital"/>
        <s v=" Ifo Medical"/>
        <s v=" Iragbiji Hospital"/>
        <s v=" Kaduna National Hospital"/>
        <s v=" Keffi Federal Medical Center"/>
        <s v=" Makurdi General Hospital"/>
        <s v=" Minna Federal Medical Center"/>
        <s v=" Port Harcourt General"/>
        <s v=" Umuahia General Hospital"/>
        <s v=" Yenagoa Medical Center"/>
      </sharedItems>
    </cacheField>
    <cacheField name="[Table1].[Supplier].[Supplier]" caption="Supplier" numFmtId="0" hierarchy="8" level="1">
      <sharedItems count="20">
        <s v=" CardiaTech"/>
        <s v=" CardioCare"/>
        <s v=" CardioTech"/>
        <s v=" GastroTech"/>
        <s v=" GynoTech"/>
        <s v=" HearTech"/>
        <s v=" Imagix"/>
        <s v=" LifeSaver"/>
        <s v=" MedTech Inc."/>
        <s v=" MRI Solutions"/>
        <s v=" NeoCare"/>
        <s v=" NephroCare"/>
        <s v=" NeuroSurg"/>
        <s v=" OncoCare"/>
        <s v=" PulmoTech"/>
        <s v=" RadSource"/>
        <s v=" RespTech"/>
        <s v=" SteriTech"/>
        <s v=" UltraMed"/>
        <s v=" UroMed"/>
      </sharedItems>
    </cacheField>
    <cacheField name="[Measures].[Average of Delivery Days]" caption="Average of Delivery Days" numFmtId="0" hierarchy="34" level="32767"/>
  </cacheFields>
  <cacheHierarchies count="38">
    <cacheHierarchy uniqueName="[Table1].[Serial No]" caption="Serial No" attribute="1" defaultMemberUniqueName="[Table1].[Serial No].[All]" allUniqueName="[Table1].[Serial No].[All]" dimensionUniqueName="[Table1]" displayFolder="" count="0" memberValueDatatype="20" unbalanced="0"/>
    <cacheHierarchy uniqueName="[Table1].[Hospital]" caption="Hospital" attribute="1" defaultMemberUniqueName="[Table1].[Hospital].[All]" allUniqueName="[Table1].[Hospital].[All]" dimensionUniqueName="[Table1]" displayFolder="" count="2" memberValueDatatype="130" unbalanced="0">
      <fieldsUsage count="2">
        <fieldUsage x="-1"/>
        <fieldUsage x="0"/>
      </fieldsUsage>
    </cacheHierarchy>
    <cacheHierarchy uniqueName="[Table1].[State]" caption="State" attribute="1" defaultMemberUniqueName="[Table1].[State].[All]" allUniqueName="[Table1].[Stat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quipment]" caption="Equipment" attribute="1" defaultMemberUniqueName="[Table1].[Equipment].[All]" allUniqueName="[Table1].[Equipmen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USD)]" caption="Unit Price (USD)" attribute="1" defaultMemberUniqueName="[Table1].[Unit Price (USD)].[All]" allUniqueName="[Table1].[Unit Price (USD)].[All]" dimensionUniqueName="[Table1]" displayFolder="" count="0" memberValueDatatype="20" unbalanced="0"/>
    <cacheHierarchy uniqueName="[Table1].[Supplier]" caption="Supplier" attribute="1" defaultMemberUniqueName="[Table1].[Supplier].[All]" allUniqueName="[Table1].[Supplier].[All]" dimensionUniqueName="[Table1]" displayFolder="" count="2" memberValueDatatype="130" unbalanced="0">
      <fieldsUsage count="2">
        <fieldUsage x="-1"/>
        <fieldUsage x="1"/>
      </fieldsUsage>
    </cacheHierarchy>
    <cacheHierarchy uniqueName="[Table1].[Supplier Contact]" caption="Supplier Contact" attribute="1" defaultMemberUniqueName="[Table1].[Supplier Contact].[All]" allUniqueName="[Table1].[Supplier Contact].[All]" dimensionUniqueName="[Table1]" displayFolder="" count="0" memberValueDatatype="130" unbalanced="0"/>
    <cacheHierarchy uniqueName="[Table1].[Supplier Phone]" caption="Supplier Phone" attribute="1" defaultMemberUniqueName="[Table1].[Supplier Phone].[All]" allUniqueName="[Table1].[Supplier Phone].[All]" dimensionUniqueName="[Table1]" displayFolder="" count="0" memberValueDatatype="5" unbalanced="0"/>
    <cacheHierarchy uniqueName="[Table1].[Supplier Email]" caption="Supplier Email" attribute="1" defaultMemberUniqueName="[Table1].[Supplier Email].[All]" allUniqueName="[Table1].[Supplier Email].[All]" dimensionUniqueName="[Table1]" displayFolder="" count="0" memberValueDatatype="130" unbalanced="0"/>
    <cacheHierarchy uniqueName="[Table1].[Supplier Country]" caption="Supplier Country" attribute="1" defaultMemberUniqueName="[Table1].[Supplier Country].[All]" allUniqueName="[Table1].[Supplier Country].[All]" dimensionUniqueName="[Table1]" displayFolder="" count="0" memberValueDatatype="130" unbalanced="0"/>
    <cacheHierarchy uniqueName="[Table1].[Date Ordered]" caption="Date Ordered" attribute="1" time="1" defaultMemberUniqueName="[Table1].[Date Ordered].[All]" allUniqueName="[Table1].[Date Ordered].[All]" dimensionUniqueName="[Table1]" displayFolder="" count="0" memberValueDatatype="7" unbalanced="0"/>
    <cacheHierarchy uniqueName="[Table1].[Date Delivered]" caption="Date Delivered" attribute="1" time="1" defaultMemberUniqueName="[Table1].[Date Delivered].[All]" allUniqueName="[Table1].[Date Delivered].[All]" dimensionUniqueName="[Table1]" displayFolder="" count="0" memberValueDatatype="7"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Warranty Period (Months)]" caption="Warranty Period (Months)" attribute="1" defaultMemberUniqueName="[Table1].[Warranty Period (Months)].[All]" allUniqueName="[Table1].[Warranty Period (Months)].[All]" dimensionUniqueName="[Table1]" displayFolder="" count="0" memberValueDatatype="20" unbalanced="0"/>
    <cacheHierarchy uniqueName="[Table1].[Maintenance Cost (USD/year)]" caption="Maintenance Cost (USD/year)" attribute="1" defaultMemberUniqueName="[Table1].[Maintenance Cost (USD/year)].[All]" allUniqueName="[Table1].[Maintenance Cost (USD/year)].[All]" dimensionUniqueName="[Table1]" displayFolder="" count="0" memberValueDatatype="20" unbalanced="0"/>
    <cacheHierarchy uniqueName="[Table1].[Installation Cost (USD)]" caption="Installation Cost (USD)" attribute="1" defaultMemberUniqueName="[Table1].[Installation Cost (USD)].[All]" allUniqueName="[Table1].[Installation Cost (USD)].[All]" dimensionUniqueName="[Table1]" displayFolder="" count="0" memberValueDatatype="20" unbalanced="0"/>
    <cacheHierarchy uniqueName="[Table1].[Total Procurement Cost]" caption="Total Procurement Cost" attribute="1" defaultMemberUniqueName="[Table1].[Total Procurement Cost].[All]" allUniqueName="[Table1].[Total Procuremen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Equipment Condition]" caption="Equipment Condition" attribute="1" defaultMemberUniqueName="[Table1].[Equipment Condition].[All]" allUniqueName="[Table1].[Equipment Condition].[All]" dimensionUniqueName="[Table1]" displayFolder="" count="0" memberValueDatatype="130" unbalanced="0"/>
    <cacheHierarchy uniqueName="[Table1].[Deliver Status]" caption="Deliver Status" attribute="1" defaultMemberUniqueName="[Table1].[Deliver Status].[All]" allUniqueName="[Table1].[Deliver Status].[All]" dimensionUniqueName="[Table1]" displayFolder="" count="0" memberValueDatatype="130" unbalanced="0"/>
    <cacheHierarchy uniqueName="[Table1].[Warranty Category]" caption="Warranty Category" attribute="1" defaultMemberUniqueName="[Table1].[Warranty Category].[All]" allUniqueName="[Table1].[Warranty Category].[All]" dimensionUniqueName="[Table1]" displayFolder="" count="0" memberValueDatatype="130" unbalanced="0"/>
    <cacheHierarchy uniqueName="[Measures].[Sum of Total Procurement Cost]" caption="Sum of Total Procurement Cos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6"/>
        </ext>
      </extLst>
    </cacheHierarchy>
    <cacheHierarchy uniqueName="[Measures].[Count of Hospital]" caption="Count of Hospital" measure="1" displayFolder="" measureGroup="Table1" count="0">
      <extLst>
        <ext xmlns:x15="http://schemas.microsoft.com/office/spreadsheetml/2010/11/main" uri="{B97F6D7D-B522-45F9-BDA1-12C45D357490}">
          <x15:cacheHierarchy aggregatedColumn="1"/>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8"/>
        </ext>
      </extLst>
    </cacheHierarchy>
    <cacheHierarchy uniqueName="[Measures].[Sum of Maintenance Cost (USDyear)]" caption="Sum of Maintenance Cost (USDyear)" measure="1" displayFolder="" measureGroup="Table1" count="0">
      <extLst>
        <ext xmlns:x15="http://schemas.microsoft.com/office/spreadsheetml/2010/11/main" uri="{B97F6D7D-B522-45F9-BDA1-12C45D357490}">
          <x15:cacheHierarchy aggregatedColumn="17"/>
        </ext>
      </extLst>
    </cacheHierarchy>
    <cacheHierarchy uniqueName="[Measures].[Sum of Installation Cost (USD)]" caption="Sum of Installation Cost (USD)" measure="1" displayFolder="" measureGroup="Table1" count="0">
      <extLst>
        <ext xmlns:x15="http://schemas.microsoft.com/office/spreadsheetml/2010/11/main" uri="{B97F6D7D-B522-45F9-BDA1-12C45D357490}">
          <x15:cacheHierarchy aggregatedColumn="18"/>
        </ext>
      </extLst>
    </cacheHierarchy>
    <cacheHierarchy uniqueName="[Measures].[Sum of Warranty Period (Months)]" caption="Sum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Average of Warranty Period (Months)]" caption="Average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Count of Equipment]" caption="Count of Equipment" measure="1" displayFolder="" measureGroup="Table1" count="0">
      <extLst>
        <ext xmlns:x15="http://schemas.microsoft.com/office/spreadsheetml/2010/11/main" uri="{B97F6D7D-B522-45F9-BDA1-12C45D357490}">
          <x15:cacheHierarchy aggregatedColumn="5"/>
        </ext>
      </extLst>
    </cacheHierarchy>
    <cacheHierarchy uniqueName="[Measures].[Sum of Delivery Days]" caption="Sum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Delivery Days]" caption="Average of Delivery Days" measure="1" displayFolder="" measureGroup="Table1" count="0" oneField="1">
      <fieldsUsage count="1">
        <fieldUsage x="2"/>
      </fieldsUsage>
      <extLst>
        <ext xmlns:x15="http://schemas.microsoft.com/office/spreadsheetml/2010/11/main" uri="{B97F6D7D-B522-45F9-BDA1-12C45D357490}">
          <x15:cacheHierarchy aggregatedColumn="15"/>
        </ext>
      </extLst>
    </cacheHierarchy>
    <cacheHierarchy uniqueName="[Measures].[Average of Installation Cost (USD)]" caption="Average of Installation Cost (USD)" measure="1" displayFolder="" measureGroup="Table1" count="0">
      <extLst>
        <ext xmlns:x15="http://schemas.microsoft.com/office/spreadsheetml/2010/11/main" uri="{B97F6D7D-B522-45F9-BDA1-12C45D357490}">
          <x15:cacheHierarchy aggregatedColumn="18"/>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HP" refreshedDate="46231.274029629632" backgroundQuery="1" createdVersion="5" refreshedVersion="5" minRefreshableVersion="3" recordCount="0" supportSubquery="1" supportAdvancedDrill="1">
  <cacheSource type="external" connectionId="1"/>
  <cacheFields count="4">
    <cacheField name="[Table1].[Hospital].[Hospital]" caption="Hospital" numFmtId="0" hierarchy="1" level="1">
      <sharedItems count="15">
        <s v=" Abeokuta General Hospital"/>
        <s v=" Bauchi National Hospital"/>
        <s v=" Benin City General Hospital"/>
        <s v=" Dutse General Hospital"/>
        <s v=" Egbe Specialist"/>
        <s v=" Gusau General Hospital"/>
        <s v=" Ifo Medical"/>
        <s v=" Iragbiji Hospital"/>
        <s v=" Kaduna National Hospital"/>
        <s v=" Keffi Federal Medical Center"/>
        <s v=" Makurdi General Hospital"/>
        <s v=" Minna Federal Medical Center"/>
        <s v=" Port Harcourt General"/>
        <s v=" Umuahia General Hospital"/>
        <s v=" Yenagoa Medical Center"/>
      </sharedItems>
    </cacheField>
    <cacheField name="[Table1].[Department].[Department]" caption="Department" numFmtId="0" hierarchy="4" level="1">
      <sharedItems count="6">
        <s v=" Emergency Care"/>
        <s v=" Hematology"/>
        <s v=" Pediatrics"/>
        <s v=" Radiology"/>
        <s v=" Surgery"/>
        <s v=" Nephrology" u="1"/>
      </sharedItems>
    </cacheField>
    <cacheField name="[Table1].[Equipment Condition].[Equipment Condition]" caption="Equipment Condition" numFmtId="0" hierarchy="21" level="1">
      <sharedItems count="4">
        <s v=" New"/>
        <s v=" Refurbished"/>
        <s v=" Used - Good"/>
        <s v=" Used - Fair" u="1"/>
      </sharedItems>
    </cacheField>
    <cacheField name="[Measures].[Count of Equipment]" caption="Count of Equipment" numFmtId="0" hierarchy="32" level="32767"/>
  </cacheFields>
  <cacheHierarchies count="38">
    <cacheHierarchy uniqueName="[Table1].[Serial No]" caption="Serial No" attribute="1" defaultMemberUniqueName="[Table1].[Serial No].[All]" allUniqueName="[Table1].[Serial No].[All]" dimensionUniqueName="[Table1]" displayFolder="" count="0" memberValueDatatype="20" unbalanced="0"/>
    <cacheHierarchy uniqueName="[Table1].[Hospital]" caption="Hospital" attribute="1" defaultMemberUniqueName="[Table1].[Hospital].[All]" allUniqueName="[Table1].[Hospital].[All]" dimensionUniqueName="[Table1]" displayFolder="" count="2" memberValueDatatype="130" unbalanced="0">
      <fieldsUsage count="2">
        <fieldUsage x="-1"/>
        <fieldUsage x="0"/>
      </fieldsUsage>
    </cacheHierarchy>
    <cacheHierarchy uniqueName="[Table1].[State]" caption="State" attribute="1" defaultMemberUniqueName="[Table1].[State].[All]" allUniqueName="[Table1].[Stat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Equipment]" caption="Equipment" attribute="1" defaultMemberUniqueName="[Table1].[Equipment].[All]" allUniqueName="[Table1].[Equipmen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USD)]" caption="Unit Price (USD)" attribute="1" defaultMemberUniqueName="[Table1].[Unit Price (USD)].[All]" allUniqueName="[Table1].[Unit Price (USD)].[All]" dimensionUniqueName="[Table1]" displayFolder="" count="0" memberValueDatatype="20" unbalanced="0"/>
    <cacheHierarchy uniqueName="[Table1].[Supplier]" caption="Supplier" attribute="1" defaultMemberUniqueName="[Table1].[Supplier].[All]" allUniqueName="[Table1].[Supplier].[All]" dimensionUniqueName="[Table1]" displayFolder="" count="0" memberValueDatatype="130" unbalanced="0"/>
    <cacheHierarchy uniqueName="[Table1].[Supplier Contact]" caption="Supplier Contact" attribute="1" defaultMemberUniqueName="[Table1].[Supplier Contact].[All]" allUniqueName="[Table1].[Supplier Contact].[All]" dimensionUniqueName="[Table1]" displayFolder="" count="0" memberValueDatatype="130" unbalanced="0"/>
    <cacheHierarchy uniqueName="[Table1].[Supplier Phone]" caption="Supplier Phone" attribute="1" defaultMemberUniqueName="[Table1].[Supplier Phone].[All]" allUniqueName="[Table1].[Supplier Phone].[All]" dimensionUniqueName="[Table1]" displayFolder="" count="0" memberValueDatatype="5" unbalanced="0"/>
    <cacheHierarchy uniqueName="[Table1].[Supplier Email]" caption="Supplier Email" attribute="1" defaultMemberUniqueName="[Table1].[Supplier Email].[All]" allUniqueName="[Table1].[Supplier Email].[All]" dimensionUniqueName="[Table1]" displayFolder="" count="0" memberValueDatatype="130" unbalanced="0"/>
    <cacheHierarchy uniqueName="[Table1].[Supplier Country]" caption="Supplier Country" attribute="1" defaultMemberUniqueName="[Table1].[Supplier Country].[All]" allUniqueName="[Table1].[Supplier Country].[All]" dimensionUniqueName="[Table1]" displayFolder="" count="0" memberValueDatatype="130" unbalanced="0"/>
    <cacheHierarchy uniqueName="[Table1].[Date Ordered]" caption="Date Ordered" attribute="1" time="1" defaultMemberUniqueName="[Table1].[Date Ordered].[All]" allUniqueName="[Table1].[Date Ordered].[All]" dimensionUniqueName="[Table1]" displayFolder="" count="0" memberValueDatatype="7" unbalanced="0"/>
    <cacheHierarchy uniqueName="[Table1].[Date Delivered]" caption="Date Delivered" attribute="1" time="1" defaultMemberUniqueName="[Table1].[Date Delivered].[All]" allUniqueName="[Table1].[Date Delivered].[All]" dimensionUniqueName="[Table1]" displayFolder="" count="0" memberValueDatatype="7"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Warranty Period (Months)]" caption="Warranty Period (Months)" attribute="1" defaultMemberUniqueName="[Table1].[Warranty Period (Months)].[All]" allUniqueName="[Table1].[Warranty Period (Months)].[All]" dimensionUniqueName="[Table1]" displayFolder="" count="0" memberValueDatatype="20" unbalanced="0"/>
    <cacheHierarchy uniqueName="[Table1].[Maintenance Cost (USD/year)]" caption="Maintenance Cost (USD/year)" attribute="1" defaultMemberUniqueName="[Table1].[Maintenance Cost (USD/year)].[All]" allUniqueName="[Table1].[Maintenance Cost (USD/year)].[All]" dimensionUniqueName="[Table1]" displayFolder="" count="0" memberValueDatatype="20" unbalanced="0"/>
    <cacheHierarchy uniqueName="[Table1].[Installation Cost (USD)]" caption="Installation Cost (USD)" attribute="1" defaultMemberUniqueName="[Table1].[Installation Cost (USD)].[All]" allUniqueName="[Table1].[Installation Cost (USD)].[All]" dimensionUniqueName="[Table1]" displayFolder="" count="0" memberValueDatatype="20" unbalanced="0"/>
    <cacheHierarchy uniqueName="[Table1].[Total Procurement Cost]" caption="Total Procurement Cost" attribute="1" defaultMemberUniqueName="[Table1].[Total Procurement Cost].[All]" allUniqueName="[Table1].[Total Procuremen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Equipment Condition]" caption="Equipment Condition" attribute="1" defaultMemberUniqueName="[Table1].[Equipment Condition].[All]" allUniqueName="[Table1].[Equipment Condition].[All]" dimensionUniqueName="[Table1]" displayFolder="" count="2" memberValueDatatype="130" unbalanced="0">
      <fieldsUsage count="2">
        <fieldUsage x="-1"/>
        <fieldUsage x="2"/>
      </fieldsUsage>
    </cacheHierarchy>
    <cacheHierarchy uniqueName="[Table1].[Deliver Status]" caption="Deliver Status" attribute="1" defaultMemberUniqueName="[Table1].[Deliver Status].[All]" allUniqueName="[Table1].[Deliver Status].[All]" dimensionUniqueName="[Table1]" displayFolder="" count="0" memberValueDatatype="130" unbalanced="0"/>
    <cacheHierarchy uniqueName="[Table1].[Warranty Category]" caption="Warranty Category" attribute="1" defaultMemberUniqueName="[Table1].[Warranty Category].[All]" allUniqueName="[Table1].[Warranty Category].[All]" dimensionUniqueName="[Table1]" displayFolder="" count="0" memberValueDatatype="130" unbalanced="0"/>
    <cacheHierarchy uniqueName="[Measures].[Sum of Total Procurement Cost]" caption="Sum of Total Procurement Cos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6"/>
        </ext>
      </extLst>
    </cacheHierarchy>
    <cacheHierarchy uniqueName="[Measures].[Count of Hospital]" caption="Count of Hospital" measure="1" displayFolder="" measureGroup="Table1" count="0">
      <extLst>
        <ext xmlns:x15="http://schemas.microsoft.com/office/spreadsheetml/2010/11/main" uri="{B97F6D7D-B522-45F9-BDA1-12C45D357490}">
          <x15:cacheHierarchy aggregatedColumn="1"/>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8"/>
        </ext>
      </extLst>
    </cacheHierarchy>
    <cacheHierarchy uniqueName="[Measures].[Sum of Maintenance Cost (USDyear)]" caption="Sum of Maintenance Cost (USDyear)" measure="1" displayFolder="" measureGroup="Table1" count="0">
      <extLst>
        <ext xmlns:x15="http://schemas.microsoft.com/office/spreadsheetml/2010/11/main" uri="{B97F6D7D-B522-45F9-BDA1-12C45D357490}">
          <x15:cacheHierarchy aggregatedColumn="17"/>
        </ext>
      </extLst>
    </cacheHierarchy>
    <cacheHierarchy uniqueName="[Measures].[Sum of Installation Cost (USD)]" caption="Sum of Installation Cost (USD)" measure="1" displayFolder="" measureGroup="Table1" count="0">
      <extLst>
        <ext xmlns:x15="http://schemas.microsoft.com/office/spreadsheetml/2010/11/main" uri="{B97F6D7D-B522-45F9-BDA1-12C45D357490}">
          <x15:cacheHierarchy aggregatedColumn="18"/>
        </ext>
      </extLst>
    </cacheHierarchy>
    <cacheHierarchy uniqueName="[Measures].[Sum of Warranty Period (Months)]" caption="Sum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Average of Warranty Period (Months)]" caption="Average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Count of Equipment]" caption="Count of Equipment" measure="1" displayFolder="" measureGroup="Table1" count="0" oneField="1">
      <fieldsUsage count="1">
        <fieldUsage x="3"/>
      </fieldsUsage>
      <extLst>
        <ext xmlns:x15="http://schemas.microsoft.com/office/spreadsheetml/2010/11/main" uri="{B97F6D7D-B522-45F9-BDA1-12C45D357490}">
          <x15:cacheHierarchy aggregatedColumn="5"/>
        </ext>
      </extLst>
    </cacheHierarchy>
    <cacheHierarchy uniqueName="[Measures].[Sum of Delivery Days]" caption="Sum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Delivery Days]" caption="Average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Installation Cost (USD)]" caption="Average of Installation Cost (USD)" measure="1" displayFolder="" measureGroup="Table1" count="0">
      <extLst>
        <ext xmlns:x15="http://schemas.microsoft.com/office/spreadsheetml/2010/11/main" uri="{B97F6D7D-B522-45F9-BDA1-12C45D357490}">
          <x15:cacheHierarchy aggregatedColumn="18"/>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HP" refreshedDate="46231.278172916667" backgroundQuery="1" createdVersion="5" refreshedVersion="5" minRefreshableVersion="3" recordCount="0" supportSubquery="1" supportAdvancedDrill="1">
  <cacheSource type="external" connectionId="1"/>
  <cacheFields count="3">
    <cacheField name="[Table1].[Hospital].[Hospital]" caption="Hospital" numFmtId="0" hierarchy="1" level="1">
      <sharedItems count="15">
        <s v=" Abeokuta General Hospital"/>
        <s v=" Bauchi National Hospital"/>
        <s v=" Benin City General Hospital"/>
        <s v=" Dutse General Hospital"/>
        <s v=" Egbe Specialist"/>
        <s v=" Gusau General Hospital"/>
        <s v=" Ifo Medical"/>
        <s v=" Iragbiji Hospital"/>
        <s v=" Kaduna National Hospital"/>
        <s v=" Keffi Federal Medical Center"/>
        <s v=" Makurdi General Hospital"/>
        <s v=" Minna Federal Medical Center"/>
        <s v=" Port Harcourt General"/>
        <s v=" Umuahia General Hospital"/>
        <s v=" Yenagoa Medical Center"/>
      </sharedItems>
    </cacheField>
    <cacheField name="[Table1].[Supplier Country].[Supplier Country]" caption="Supplier Country" numFmtId="0" hierarchy="12" level="1">
      <sharedItems count="15">
        <s v=" Australia"/>
        <s v=" China"/>
        <s v=" France"/>
        <s v=" Germany"/>
        <s v=" Japan"/>
        <s v=" Saudi Arabia"/>
        <s v=" Spain"/>
        <s v=" Taiwan"/>
        <s v=" UAE"/>
        <s v=" USA"/>
        <s v=" Egypt" u="1"/>
        <s v=" India" u="1"/>
        <s v=" Mexico" u="1"/>
        <s v=" South Korea" u="1"/>
        <s v=" UK" u="1"/>
      </sharedItems>
    </cacheField>
    <cacheField name="[Measures].[Count of Supplier]" caption="Count of Supplier" numFmtId="0" hierarchy="27" level="32767"/>
  </cacheFields>
  <cacheHierarchies count="38">
    <cacheHierarchy uniqueName="[Table1].[Serial No]" caption="Serial No" attribute="1" defaultMemberUniqueName="[Table1].[Serial No].[All]" allUniqueName="[Table1].[Serial No].[All]" dimensionUniqueName="[Table1]" displayFolder="" count="0" memberValueDatatype="20" unbalanced="0"/>
    <cacheHierarchy uniqueName="[Table1].[Hospital]" caption="Hospital" attribute="1" defaultMemberUniqueName="[Table1].[Hospital].[All]" allUniqueName="[Table1].[Hospital].[All]" dimensionUniqueName="[Table1]" displayFolder="" count="2" memberValueDatatype="130" unbalanced="0">
      <fieldsUsage count="2">
        <fieldUsage x="-1"/>
        <fieldUsage x="0"/>
      </fieldsUsage>
    </cacheHierarchy>
    <cacheHierarchy uniqueName="[Table1].[State]" caption="State" attribute="1" defaultMemberUniqueName="[Table1].[State].[All]" allUniqueName="[Table1].[State].[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quipment]" caption="Equipment" attribute="1" defaultMemberUniqueName="[Table1].[Equipment].[All]" allUniqueName="[Table1].[Equipmen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USD)]" caption="Unit Price (USD)" attribute="1" defaultMemberUniqueName="[Table1].[Unit Price (USD)].[All]" allUniqueName="[Table1].[Unit Price (USD)].[All]" dimensionUniqueName="[Table1]" displayFolder="" count="0" memberValueDatatype="20" unbalanced="0"/>
    <cacheHierarchy uniqueName="[Table1].[Supplier]" caption="Supplier" attribute="1" defaultMemberUniqueName="[Table1].[Supplier].[All]" allUniqueName="[Table1].[Supplier].[All]" dimensionUniqueName="[Table1]" displayFolder="" count="2" memberValueDatatype="130" unbalanced="0"/>
    <cacheHierarchy uniqueName="[Table1].[Supplier Contact]" caption="Supplier Contact" attribute="1" defaultMemberUniqueName="[Table1].[Supplier Contact].[All]" allUniqueName="[Table1].[Supplier Contact].[All]" dimensionUniqueName="[Table1]" displayFolder="" count="0" memberValueDatatype="130" unbalanced="0"/>
    <cacheHierarchy uniqueName="[Table1].[Supplier Phone]" caption="Supplier Phone" attribute="1" defaultMemberUniqueName="[Table1].[Supplier Phone].[All]" allUniqueName="[Table1].[Supplier Phone].[All]" dimensionUniqueName="[Table1]" displayFolder="" count="0" memberValueDatatype="5" unbalanced="0"/>
    <cacheHierarchy uniqueName="[Table1].[Supplier Email]" caption="Supplier Email" attribute="1" defaultMemberUniqueName="[Table1].[Supplier Email].[All]" allUniqueName="[Table1].[Supplier Email].[All]" dimensionUniqueName="[Table1]" displayFolder="" count="0" memberValueDatatype="130" unbalanced="0"/>
    <cacheHierarchy uniqueName="[Table1].[Supplier Country]" caption="Supplier Country" attribute="1" defaultMemberUniqueName="[Table1].[Supplier Country].[All]" allUniqueName="[Table1].[Supplier Country].[All]" dimensionUniqueName="[Table1]" displayFolder="" count="2" memberValueDatatype="130" unbalanced="0">
      <fieldsUsage count="2">
        <fieldUsage x="-1"/>
        <fieldUsage x="1"/>
      </fieldsUsage>
    </cacheHierarchy>
    <cacheHierarchy uniqueName="[Table1].[Date Ordered]" caption="Date Ordered" attribute="1" time="1" defaultMemberUniqueName="[Table1].[Date Ordered].[All]" allUniqueName="[Table1].[Date Ordered].[All]" dimensionUniqueName="[Table1]" displayFolder="" count="0" memberValueDatatype="7" unbalanced="0"/>
    <cacheHierarchy uniqueName="[Table1].[Date Delivered]" caption="Date Delivered" attribute="1" time="1" defaultMemberUniqueName="[Table1].[Date Delivered].[All]" allUniqueName="[Table1].[Date Delivered].[All]" dimensionUniqueName="[Table1]" displayFolder="" count="0" memberValueDatatype="7" unbalanced="0"/>
    <cacheHierarchy uniqueName="[Table1].[Delivery Days]" caption="Delivery Days" attribute="1" defaultMemberUniqueName="[Table1].[Delivery Days].[All]" allUniqueName="[Table1].[Delivery Days].[All]" dimensionUniqueName="[Table1]" displayFolder="" count="0" memberValueDatatype="20" unbalanced="0"/>
    <cacheHierarchy uniqueName="[Table1].[Warranty Period (Months)]" caption="Warranty Period (Months)" attribute="1" defaultMemberUniqueName="[Table1].[Warranty Period (Months)].[All]" allUniqueName="[Table1].[Warranty Period (Months)].[All]" dimensionUniqueName="[Table1]" displayFolder="" count="0" memberValueDatatype="20" unbalanced="0"/>
    <cacheHierarchy uniqueName="[Table1].[Maintenance Cost (USD/year)]" caption="Maintenance Cost (USD/year)" attribute="1" defaultMemberUniqueName="[Table1].[Maintenance Cost (USD/year)].[All]" allUniqueName="[Table1].[Maintenance Cost (USD/year)].[All]" dimensionUniqueName="[Table1]" displayFolder="" count="0" memberValueDatatype="20" unbalanced="0"/>
    <cacheHierarchy uniqueName="[Table1].[Installation Cost (USD)]" caption="Installation Cost (USD)" attribute="1" defaultMemberUniqueName="[Table1].[Installation Cost (USD)].[All]" allUniqueName="[Table1].[Installation Cost (USD)].[All]" dimensionUniqueName="[Table1]" displayFolder="" count="0" memberValueDatatype="20" unbalanced="0"/>
    <cacheHierarchy uniqueName="[Table1].[Total Procurement Cost]" caption="Total Procurement Cost" attribute="1" defaultMemberUniqueName="[Table1].[Total Procurement Cost].[All]" allUniqueName="[Table1].[Total Procurement Cost].[All]" dimensionUniqueName="[Table1]" displayFolder="" count="0" memberValueDatatype="20" unbalanced="0"/>
    <cacheHierarchy uniqueName="[Table1].[Total Cost]" caption="Total Cost" attribute="1" defaultMemberUniqueName="[Table1].[Total Cost].[All]" allUniqueName="[Table1].[Total Cost].[All]" dimensionUniqueName="[Table1]" displayFolder="" count="0" memberValueDatatype="20" unbalanced="0"/>
    <cacheHierarchy uniqueName="[Table1].[Equipment Condition]" caption="Equipment Condition" attribute="1" defaultMemberUniqueName="[Table1].[Equipment Condition].[All]" allUniqueName="[Table1].[Equipment Condition].[All]" dimensionUniqueName="[Table1]" displayFolder="" count="0" memberValueDatatype="130" unbalanced="0"/>
    <cacheHierarchy uniqueName="[Table1].[Deliver Status]" caption="Deliver Status" attribute="1" defaultMemberUniqueName="[Table1].[Deliver Status].[All]" allUniqueName="[Table1].[Deliver Status].[All]" dimensionUniqueName="[Table1]" displayFolder="" count="0" memberValueDatatype="130" unbalanced="0"/>
    <cacheHierarchy uniqueName="[Table1].[Warranty Category]" caption="Warranty Category" attribute="1" defaultMemberUniqueName="[Table1].[Warranty Category].[All]" allUniqueName="[Table1].[Warranty Category].[All]" dimensionUniqueName="[Table1]" displayFolder="" count="0" memberValueDatatype="130" unbalanced="0"/>
    <cacheHierarchy uniqueName="[Measures].[Sum of Total Procurement Cost]" caption="Sum of Total Procurement Cost" measure="1" displayFolder="" measureGroup="Table1"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6"/>
        </ext>
      </extLst>
    </cacheHierarchy>
    <cacheHierarchy uniqueName="[Measures].[Count of Hospital]" caption="Count of Hospital" measure="1" displayFolder="" measureGroup="Table1" count="0">
      <extLst>
        <ext xmlns:x15="http://schemas.microsoft.com/office/spreadsheetml/2010/11/main" uri="{B97F6D7D-B522-45F9-BDA1-12C45D357490}">
          <x15:cacheHierarchy aggregatedColumn="1"/>
        </ext>
      </extLst>
    </cacheHierarchy>
    <cacheHierarchy uniqueName="[Measures].[Count of Supplier]" caption="Count of Supplier" measure="1" displayFolder="" measureGroup="Table1" count="0" oneField="1">
      <fieldsUsage count="1">
        <fieldUsage x="2"/>
      </fieldsUsage>
      <extLst>
        <ext xmlns:x15="http://schemas.microsoft.com/office/spreadsheetml/2010/11/main" uri="{B97F6D7D-B522-45F9-BDA1-12C45D357490}">
          <x15:cacheHierarchy aggregatedColumn="8"/>
        </ext>
      </extLst>
    </cacheHierarchy>
    <cacheHierarchy uniqueName="[Measures].[Sum of Maintenance Cost (USDyear)]" caption="Sum of Maintenance Cost (USDyear)" measure="1" displayFolder="" measureGroup="Table1" count="0">
      <extLst>
        <ext xmlns:x15="http://schemas.microsoft.com/office/spreadsheetml/2010/11/main" uri="{B97F6D7D-B522-45F9-BDA1-12C45D357490}">
          <x15:cacheHierarchy aggregatedColumn="17"/>
        </ext>
      </extLst>
    </cacheHierarchy>
    <cacheHierarchy uniqueName="[Measures].[Sum of Installation Cost (USD)]" caption="Sum of Installation Cost (USD)" measure="1" displayFolder="" measureGroup="Table1" count="0">
      <extLst>
        <ext xmlns:x15="http://schemas.microsoft.com/office/spreadsheetml/2010/11/main" uri="{B97F6D7D-B522-45F9-BDA1-12C45D357490}">
          <x15:cacheHierarchy aggregatedColumn="18"/>
        </ext>
      </extLst>
    </cacheHierarchy>
    <cacheHierarchy uniqueName="[Measures].[Sum of Warranty Period (Months)]" caption="Sum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Average of Warranty Period (Months)]" caption="Average of Warranty Period (Months)" measure="1" displayFolder="" measureGroup="Table1" count="0">
      <extLst>
        <ext xmlns:x15="http://schemas.microsoft.com/office/spreadsheetml/2010/11/main" uri="{B97F6D7D-B522-45F9-BDA1-12C45D357490}">
          <x15:cacheHierarchy aggregatedColumn="16"/>
        </ext>
      </extLst>
    </cacheHierarchy>
    <cacheHierarchy uniqueName="[Measures].[Count of Equipment]" caption="Count of Equipment" measure="1" displayFolder="" measureGroup="Table1" count="0">
      <extLst>
        <ext xmlns:x15="http://schemas.microsoft.com/office/spreadsheetml/2010/11/main" uri="{B97F6D7D-B522-45F9-BDA1-12C45D357490}">
          <x15:cacheHierarchy aggregatedColumn="5"/>
        </ext>
      </extLst>
    </cacheHierarchy>
    <cacheHierarchy uniqueName="[Measures].[Sum of Delivery Days]" caption="Sum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Delivery Days]" caption="Average of Delivery Days" measure="1" displayFolder="" measureGroup="Table1" count="0">
      <extLst>
        <ext xmlns:x15="http://schemas.microsoft.com/office/spreadsheetml/2010/11/main" uri="{B97F6D7D-B522-45F9-BDA1-12C45D357490}">
          <x15:cacheHierarchy aggregatedColumn="15"/>
        </ext>
      </extLst>
    </cacheHierarchy>
    <cacheHierarchy uniqueName="[Measures].[Average of Installation Cost (USD)]" caption="Average of Installation Cost (USD)" measure="1" displayFolder="" measureGroup="Table1" count="0">
      <extLst>
        <ext xmlns:x15="http://schemas.microsoft.com/office/spreadsheetml/2010/11/main" uri="{B97F6D7D-B522-45F9-BDA1-12C45D357490}">
          <x15:cacheHierarchy aggregatedColumn="18"/>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HP" refreshedDate="46225.036319907405" backgroundQuery="1" createdVersion="3" refreshedVersion="5"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Measures]" caption="Measures" attribute="1" keyAttribute="1" defaultMemberUniqueName="[Measures].[__XL_Count of Models]" dimensionUniqueName="[Measures]" displayFolder="" measures="1" count="1" memberValueDatatype="130" unbalanced="0"/>
    <cacheHierarchy uniqueName="[Table1].[Serial No]" caption="Serial No" attribute="1" defaultMemberUniqueName="[Table1].[Serial No].[All]" allUniqueName="[Table1].[Serial No].[All]" dimensionUniqueName="[Table1]" displayFolder="" count="2" memberValueDatatype="20" unbalanced="0"/>
    <cacheHierarchy uniqueName="[Table1].[Hospital]" caption="Hospital" attribute="1" defaultMemberUniqueName="[Table1].[Hospital].[All]" allUniqueName="[Table1].[Hospital].[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Location]" caption="Location" attribute="1" defaultMemberUniqueName="[Table1].[Location].[All]" allUniqueName="[Table1].[Location].[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Equipment]" caption="Equipment" attribute="1" defaultMemberUniqueName="[Table1].[Equipment].[All]" allUniqueName="[Table1].[Equipment].[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 Price (USD)]" caption="Unit Price (USD)" attribute="1" defaultMemberUniqueName="[Table1].[Unit Price (USD)].[All]" allUniqueName="[Table1].[Unit Price (USD)].[All]" dimensionUniqueName="[Table1]" displayFolder="" count="2" memberValueDatatype="20" unbalanced="0"/>
    <cacheHierarchy uniqueName="[Table1].[Supplier]" caption="Supplier" attribute="1" defaultMemberUniqueName="[Table1].[Supplier].[All]" allUniqueName="[Table1].[Supplier].[All]" dimensionUniqueName="[Table1]" displayFolder="" count="2" memberValueDatatype="130" unbalanced="0"/>
    <cacheHierarchy uniqueName="[Table1].[Supplier Contact]" caption="Supplier Contact" attribute="1" defaultMemberUniqueName="[Table1].[Supplier Contact].[All]" allUniqueName="[Table1].[Supplier Contact].[All]" dimensionUniqueName="[Table1]" displayFolder="" count="2" memberValueDatatype="130" unbalanced="0"/>
    <cacheHierarchy uniqueName="[Table1].[Supplier Phone]" caption="Supplier Phone" attribute="1" defaultMemberUniqueName="[Table1].[Supplier Phone].[All]" allUniqueName="[Table1].[Supplier Phone].[All]" dimensionUniqueName="[Table1]" displayFolder="" count="2" memberValueDatatype="5" unbalanced="0"/>
    <cacheHierarchy uniqueName="[Table1].[Supplier Email]" caption="Supplier Email" attribute="1" defaultMemberUniqueName="[Table1].[Supplier Email].[All]" allUniqueName="[Table1].[Supplier Email].[All]" dimensionUniqueName="[Table1]" displayFolder="" count="2" memberValueDatatype="130" unbalanced="0"/>
    <cacheHierarchy uniqueName="[Table1].[Supplier Country]" caption="Supplier Country" attribute="1" defaultMemberUniqueName="[Table1].[Supplier Country].[All]" allUniqueName="[Table1].[Supplier Country].[All]" dimensionUniqueName="[Table1]" displayFolder="" count="2" memberValueDatatype="130" unbalanced="0"/>
    <cacheHierarchy uniqueName="[Table1].[Date Ordered]" caption="Date Ordered" attribute="1" time="1" defaultMemberUniqueName="[Table1].[Date Ordered].[All]" allUniqueName="[Table1].[Date Ordered].[All]" dimensionUniqueName="[Table1]" displayFolder="" count="2" memberValueDatatype="7" unbalanced="0"/>
    <cacheHierarchy uniqueName="[Table1].[Date Delivered]" caption="Date Delivered" attribute="1" time="1" defaultMemberUniqueName="[Table1].[Date Delivered].[All]" allUniqueName="[Table1].[Date Delivered].[All]" dimensionUniqueName="[Table1]" displayFolder="" count="2" memberValueDatatype="7" unbalanced="0"/>
    <cacheHierarchy uniqueName="[Table1].[Delivery Days]" caption="Delivery Days" attribute="1" defaultMemberUniqueName="[Table1].[Delivery Days].[All]" allUniqueName="[Table1].[Delivery Days].[All]" dimensionUniqueName="[Table1]" displayFolder="" count="2" memberValueDatatype="20" unbalanced="0"/>
    <cacheHierarchy uniqueName="[Table1].[Warranty Period (Months)]" caption="Warranty Period (Months)" attribute="1" defaultMemberUniqueName="[Table1].[Warranty Period (Months)].[All]" allUniqueName="[Table1].[Warranty Period (Months)].[All]" dimensionUniqueName="[Table1]" displayFolder="" count="2" memberValueDatatype="20" unbalanced="0"/>
    <cacheHierarchy uniqueName="[Table1].[Maintenance Cost (USD/year)]" caption="Maintenance Cost (USD/year)" attribute="1" defaultMemberUniqueName="[Table1].[Maintenance Cost (USD/year)].[All]" allUniqueName="[Table1].[Maintenance Cost (USD/year)].[All]" dimensionUniqueName="[Table1]" displayFolder="" count="2" memberValueDatatype="20" unbalanced="0"/>
    <cacheHierarchy uniqueName="[Table1].[Installation Cost (USD)]" caption="Installation Cost (USD)" attribute="1" defaultMemberUniqueName="[Table1].[Installation Cost (USD)].[All]" allUniqueName="[Table1].[Installation Cost (USD)].[All]" dimensionUniqueName="[Table1]" displayFolder="" count="2" memberValueDatatype="20" unbalanced="0"/>
    <cacheHierarchy uniqueName="[Table1].[Total Procurement Cost]" caption="Total Procurement Cost" attribute="1" defaultMemberUniqueName="[Table1].[Total Procurement Cost].[All]" allUniqueName="[Table1].[Total Procurement Cost].[All]" dimensionUniqueName="[Table1]" displayFolder="" count="2" memberValueDatatype="20" unbalanced="0"/>
    <cacheHierarchy uniqueName="[Table1].[Total Cost]" caption="Total Cost" attribute="1" defaultMemberUniqueName="[Table1].[Total Cost].[All]" allUniqueName="[Table1].[Total Cost].[All]" dimensionUniqueName="[Table1]" displayFolder="" count="2" memberValueDatatype="20" unbalanced="0"/>
    <cacheHierarchy uniqueName="[Table1].[Equipment Condition]" caption="Equipment Condition" attribute="1" defaultMemberUniqueName="[Table1].[Equipment Condition].[All]" allUniqueName="[Table1].[Equipment Condition].[All]" dimensionUniqueName="[Table1]" displayFolder="" count="2" memberValueDatatype="130" unbalanced="0"/>
    <cacheHierarchy uniqueName="[Table1].[Deliver Status]" caption="Deliver Status" attribute="1" defaultMemberUniqueName="[Table1].[Deliver Status].[All]" allUniqueName="[Table1].[Deliver Status].[All]" dimensionUniqueName="[Table1]" displayFolder="" count="2" memberValueDatatype="130" unbalanced="0"/>
    <cacheHierarchy uniqueName="[Table1].[Warranty Category]" caption="Warranty Category" attribute="1" defaultMemberUniqueName="[Table1].[Warranty Category].[All]" allUniqueName="[Table1].[Warranty Category].[All]" dimensionUniqueName="[Table1]" displayFolder="" count="2" memberValueDatatype="130" unbalanced="0"/>
    <cacheHierarchy uniqueName="[Measures].[Sum of Total Procurement Cost]" caption="Sum of Total Procurement Cost" measure="1" displayFolder="" measureGroup="Table1"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7"/>
        </ext>
      </extLst>
    </cacheHierarchy>
    <cacheHierarchy uniqueName="[Measures].[Count of Hospital]" caption="Count of Hospital" measure="1" displayFolder="" measureGroup="Table1" count="0">
      <extLst>
        <ext xmlns:x15="http://schemas.microsoft.com/office/spreadsheetml/2010/11/main" uri="{B97F6D7D-B522-45F9-BDA1-12C45D357490}">
          <x15:cacheHierarchy aggregatedColumn="2"/>
        </ext>
      </extLst>
    </cacheHierarchy>
    <cacheHierarchy uniqueName="[Measures].[Count of Supplier]" caption="Count of Supplier" measure="1" displayFolder="" measureGroup="Table1" count="0">
      <extLst>
        <ext xmlns:x15="http://schemas.microsoft.com/office/spreadsheetml/2010/11/main" uri="{B97F6D7D-B522-45F9-BDA1-12C45D357490}">
          <x15:cacheHierarchy aggregatedColumn="9"/>
        </ext>
      </extLst>
    </cacheHierarchy>
    <cacheHierarchy uniqueName="[Measures].[Sum of Maintenance Cost (USDyear)]" caption="Sum of Maintenance Cost (USDyear)" measure="1" displayFolder="" measureGroup="Table1" count="0">
      <extLst>
        <ext xmlns:x15="http://schemas.microsoft.com/office/spreadsheetml/2010/11/main" uri="{B97F6D7D-B522-45F9-BDA1-12C45D357490}">
          <x15:cacheHierarchy aggregatedColumn="18"/>
        </ext>
      </extLst>
    </cacheHierarchy>
    <cacheHierarchy uniqueName="[Measures].[Sum of Installation Cost (USD)]" caption="Sum of Installation Cost (USD)" measure="1" displayFolder="" measureGroup="Table1" count="0">
      <extLst>
        <ext xmlns:x15="http://schemas.microsoft.com/office/spreadsheetml/2010/11/main" uri="{B97F6D7D-B522-45F9-BDA1-12C45D357490}">
          <x15:cacheHierarchy aggregatedColumn="19"/>
        </ext>
      </extLst>
    </cacheHierarchy>
    <cacheHierarchy uniqueName="[Measures].[Sum of Warranty Period (Months)]" caption="Sum of Warranty Period (Months)" measure="1" displayFolder="" measureGroup="Table1" count="0">
      <extLst>
        <ext xmlns:x15="http://schemas.microsoft.com/office/spreadsheetml/2010/11/main" uri="{B97F6D7D-B522-45F9-BDA1-12C45D357490}">
          <x15:cacheHierarchy aggregatedColumn="17"/>
        </ext>
      </extLst>
    </cacheHierarchy>
    <cacheHierarchy uniqueName="[Measures].[Average of Warranty Period (Months)]" caption="Average of Warranty Period (Months)" measure="1" displayFolder="" measureGroup="Table1" count="0">
      <extLst>
        <ext xmlns:x15="http://schemas.microsoft.com/office/spreadsheetml/2010/11/main" uri="{B97F6D7D-B522-45F9-BDA1-12C45D357490}">
          <x15:cacheHierarchy aggregatedColumn="17"/>
        </ext>
      </extLst>
    </cacheHierarchy>
    <cacheHierarchy uniqueName="[Measures].[Count of Equipment]" caption="Count of Equipment" measure="1" displayFolder="" measureGroup="Table1" count="0">
      <extLst>
        <ext xmlns:x15="http://schemas.microsoft.com/office/spreadsheetml/2010/11/main" uri="{B97F6D7D-B522-45F9-BDA1-12C45D357490}">
          <x15:cacheHierarchy aggregatedColumn="6"/>
        </ext>
      </extLst>
    </cacheHierarchy>
    <cacheHierarchy uniqueName="[Measures].[Sum of Delivery Days]" caption="Sum of Delivery Days" measure="1" displayFolder="" measureGroup="Table1" count="0">
      <extLst>
        <ext xmlns:x15="http://schemas.microsoft.com/office/spreadsheetml/2010/11/main" uri="{B97F6D7D-B522-45F9-BDA1-12C45D357490}">
          <x15:cacheHierarchy aggregatedColumn="16"/>
        </ext>
      </extLst>
    </cacheHierarchy>
    <cacheHierarchy uniqueName="[Measures].[Average of Delivery Days]" caption="Average of Delivery Days" measure="1" displayFolder="" measureGroup="Table1" count="0">
      <extLst>
        <ext xmlns:x15="http://schemas.microsoft.com/office/spreadsheetml/2010/11/main" uri="{B97F6D7D-B522-45F9-BDA1-12C45D357490}">
          <x15:cacheHierarchy aggregatedColumn="16"/>
        </ext>
      </extLst>
    </cacheHierarchy>
    <cacheHierarchy uniqueName="[Measures].[Average of Installation Cost (USD)]" caption="Average of Installation Cost (USD)" measure="1" displayFolder="" measureGroup="Table1" count="0">
      <extLst>
        <ext xmlns:x15="http://schemas.microsoft.com/office/spreadsheetml/2010/11/main" uri="{B97F6D7D-B522-45F9-BDA1-12C45D357490}">
          <x15:cacheHierarchy aggregatedColumn="19"/>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6"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8:A39" firstHeaderRow="1" firstDataRow="1" firstDataCol="0"/>
  <pivotFields count="1">
    <pivotField dataField="1" showAll="0"/>
  </pivotFields>
  <rowItems count="1">
    <i/>
  </rowItems>
  <colItems count="1">
    <i/>
  </colItems>
  <dataFields count="1">
    <dataField name="Total Installation Cost (USD)" fld="0" baseField="0" baseItem="0"/>
  </dataFields>
  <formats count="1">
    <format dxfId="3">
      <pivotArea outline="0" collapsedLevelsAreSubtotals="1" fieldPosition="0"/>
    </format>
  </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curement Cost"/>
    <pivotHierarchy dragToData="1" caption="Total Quantity Purchased"/>
    <pivotHierarchy dragToData="1" caption="Total Hospitals"/>
    <pivotHierarchy dragToData="1" caption="Total Suppliers"/>
    <pivotHierarchy dragToData="1" caption="Total Maintenance Cost (USD/year)"/>
    <pivotHierarchy dragToData="1" caption="Total Installation Cost (USD)"/>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urement Dataset.xlsx!Table1">
        <x15:activeTabTopLevelEntity name="[Table1]"/>
      </x15:pivotTableUISettings>
    </ext>
  </extLst>
</pivotTableDefinition>
</file>

<file path=xl/pivotTables/pivotTable2.xml><?xml version="1.0" encoding="utf-8"?>
<pivotTableDefinition xmlns="http://schemas.openxmlformats.org/spreadsheetml/2006/main" name="PivotTable15" cacheId="3"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5">
  <location ref="A331:B336" firstHeaderRow="1" firstDataRow="1" firstDataCol="1"/>
  <pivotFields count="3">
    <pivotField allDrilled="1" showAll="0" measureFilter="1" defaultAttributeDrillState="1">
      <items count="16">
        <item x="0"/>
        <item x="1"/>
        <item x="2"/>
        <item x="3"/>
        <item x="4"/>
        <item x="5"/>
        <item x="6"/>
        <item x="7"/>
        <item x="8"/>
        <item x="9"/>
        <item x="10"/>
        <item x="11"/>
        <item x="12"/>
        <item x="13"/>
        <item x="14"/>
        <item t="default"/>
      </items>
    </pivotField>
    <pivotField axis="axisRow"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5">
    <i>
      <x/>
    </i>
    <i>
      <x v="1"/>
    </i>
    <i>
      <x v="3"/>
    </i>
    <i>
      <x v="2"/>
    </i>
    <i t="grand">
      <x/>
    </i>
  </rowItems>
  <colItems count="1">
    <i/>
  </colItems>
  <dataFields count="1">
    <dataField name="Average of Installation Cost (USD)" fld="2" subtotal="average" baseField="1" baseItem="0" numFmtId="164"/>
  </dataFields>
  <formats count="1">
    <format dxfId="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curement Cost"/>
    <pivotHierarchy dragToData="1" caption="Total Quantity Purchased"/>
    <pivotHierarchy dragToData="1" caption="Total Hospitals"/>
    <pivotHierarchy dragToData="1" caption="Total Suppliers"/>
    <pivotHierarchy dragToData="1" caption="Total Maintenance Cost (USD/year)"/>
    <pivotHierarchy dragToData="1" caption="Total Installation Cost (USD)"/>
    <pivotHierarchy dragToData="1"/>
    <pivotHierarchy dragToData="1" caption="Average Warranty Period (Months)"/>
    <pivotHierarchy dragToData="1" caption="Number of Equipment Procured"/>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5" filterVal="15"/>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urement Dataset.xlsx!Table1">
        <x15:activeTabTopLevelEntity name="[Table1]"/>
      </x15:pivotTableUISettings>
    </ext>
  </extLst>
</pivotTableDefinition>
</file>

<file path=xl/pivotTables/pivotTable3.xml><?xml version="1.0" encoding="utf-8"?>
<pivotTableDefinition xmlns="http://schemas.openxmlformats.org/spreadsheetml/2006/main" name="PivotTable8" cacheId="10"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location ref="A58:A59" firstHeaderRow="1" firstDataRow="1" firstDataCol="0"/>
  <pivotFields count="1">
    <pivotField dataField="1" showAll="0"/>
  </pivotFields>
  <rowItems count="1">
    <i/>
  </rowItems>
  <colItems count="1">
    <i/>
  </colItems>
  <dataFields count="1">
    <dataField name="Number of Equipment Procured" fld="0" subtotal="count" baseField="0" baseItem="0"/>
  </dataFields>
  <formats count="1">
    <format dxfId="5">
      <pivotArea outline="0" collapsedLevelsAreSubtotals="1" fieldPosition="0"/>
    </format>
  </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curement Cost"/>
    <pivotHierarchy dragToData="1" caption="Total Quantity Purchased"/>
    <pivotHierarchy dragToData="1" caption="Total Hospitals"/>
    <pivotHierarchy dragToData="1" caption="Total Suppliers"/>
    <pivotHierarchy dragToData="1" caption="Total Maintenance Cost (USD/year)"/>
    <pivotHierarchy dragToData="1" caption="Total Installation Cost (USD)"/>
    <pivotHierarchy dragToData="1"/>
    <pivotHierarchy dragToData="1" caption="Average Warranty Period (Months)"/>
    <pivotHierarchy dragToData="1" caption="Number of Equipment Procured"/>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urement Dataset.xlsx!Table1">
        <x15:activeTabTopLevelEntity name="[Table1]"/>
      </x15:pivotTableUISettings>
    </ext>
  </extLst>
</pivotTableDefinition>
</file>

<file path=xl/pivotTables/pivotTable4.xml><?xml version="1.0" encoding="utf-8"?>
<pivotTableDefinition xmlns="http://schemas.openxmlformats.org/spreadsheetml/2006/main" name="PivotTable14" cacheId="21"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19">
  <location ref="A290:B301" firstHeaderRow="1" firstDataRow="1" firstDataCol="1"/>
  <pivotFields count="3">
    <pivotField allDrilled="1" showAll="0" measureFilter="1" defaultAttributeDrillState="1">
      <items count="16">
        <item x="0"/>
        <item x="1"/>
        <item x="2"/>
        <item x="3"/>
        <item x="4"/>
        <item x="5"/>
        <item x="6"/>
        <item x="7"/>
        <item x="8"/>
        <item x="9"/>
        <item x="10"/>
        <item x="11"/>
        <item x="12"/>
        <item x="13"/>
        <item x="14"/>
        <item t="default"/>
      </items>
    </pivotField>
    <pivotField axis="axisRow" allDrilled="1" showAll="0" measureFilter="1" sortType="descending" defaultAttributeDrillState="1">
      <items count="16">
        <item x="0"/>
        <item x="1"/>
        <item x="2"/>
        <item x="3"/>
        <item x="4"/>
        <item x="5"/>
        <item x="6"/>
        <item x="7"/>
        <item x="8"/>
        <item x="9"/>
        <item x="10"/>
        <item x="11"/>
        <item x="12"/>
        <item x="13"/>
        <item x="14"/>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11">
    <i>
      <x/>
    </i>
    <i>
      <x v="9"/>
    </i>
    <i>
      <x v="8"/>
    </i>
    <i>
      <x v="2"/>
    </i>
    <i>
      <x v="1"/>
    </i>
    <i>
      <x v="3"/>
    </i>
    <i>
      <x v="4"/>
    </i>
    <i>
      <x v="6"/>
    </i>
    <i>
      <x v="7"/>
    </i>
    <i>
      <x v="5"/>
    </i>
    <i t="grand">
      <x/>
    </i>
  </rowItems>
  <colItems count="1">
    <i/>
  </colItems>
  <dataFields count="1">
    <dataField name="Count of Supplier" fld="2" subtotal="count" baseField="0" baseItem="0"/>
  </dataFields>
  <formats count="1">
    <format dxfId="6">
      <pivotArea outline="0" collapsedLevelsAreSubtotals="1" fieldPosition="0"/>
    </format>
  </formats>
  <chartFormats count="35">
    <chartFormat chart="2" format="0" series="1">
      <pivotArea type="data" outline="0" fieldPosition="0">
        <references count="1">
          <reference field="4294967294" count="1" selected="0">
            <x v="0"/>
          </reference>
        </references>
      </pivotArea>
    </chartFormat>
    <chartFormat chart="5" format="17" series="1">
      <pivotArea type="data" outline="0" fieldPosition="0">
        <references count="1">
          <reference field="4294967294" count="1" selected="0">
            <x v="0"/>
          </reference>
        </references>
      </pivotArea>
    </chartFormat>
    <chartFormat chart="5" format="18">
      <pivotArea type="data" outline="0" fieldPosition="0">
        <references count="2">
          <reference field="4294967294" count="1" selected="0">
            <x v="0"/>
          </reference>
          <reference field="1" count="1" selected="0">
            <x v="0"/>
          </reference>
        </references>
      </pivotArea>
    </chartFormat>
    <chartFormat chart="5" format="19">
      <pivotArea type="data" outline="0" fieldPosition="0">
        <references count="2">
          <reference field="4294967294" count="1" selected="0">
            <x v="0"/>
          </reference>
          <reference field="1" count="1" selected="0">
            <x v="9"/>
          </reference>
        </references>
      </pivotArea>
    </chartFormat>
    <chartFormat chart="5" format="20">
      <pivotArea type="data" outline="0" fieldPosition="0">
        <references count="2">
          <reference field="4294967294" count="1" selected="0">
            <x v="0"/>
          </reference>
          <reference field="1" count="1" selected="0">
            <x v="8"/>
          </reference>
        </references>
      </pivotArea>
    </chartFormat>
    <chartFormat chart="5" format="21">
      <pivotArea type="data" outline="0" fieldPosition="0">
        <references count="2">
          <reference field="4294967294" count="1" selected="0">
            <x v="0"/>
          </reference>
          <reference field="1" count="1" selected="0">
            <x v="2"/>
          </reference>
        </references>
      </pivotArea>
    </chartFormat>
    <chartFormat chart="5" format="22">
      <pivotArea type="data" outline="0" fieldPosition="0">
        <references count="2">
          <reference field="4294967294" count="1" selected="0">
            <x v="0"/>
          </reference>
          <reference field="1" count="1" selected="0">
            <x v="1"/>
          </reference>
        </references>
      </pivotArea>
    </chartFormat>
    <chartFormat chart="5" format="23">
      <pivotArea type="data" outline="0" fieldPosition="0">
        <references count="2">
          <reference field="4294967294" count="1" selected="0">
            <x v="0"/>
          </reference>
          <reference field="1" count="1" selected="0">
            <x v="3"/>
          </reference>
        </references>
      </pivotArea>
    </chartFormat>
    <chartFormat chart="5" format="24">
      <pivotArea type="data" outline="0" fieldPosition="0">
        <references count="2">
          <reference field="4294967294" count="1" selected="0">
            <x v="0"/>
          </reference>
          <reference field="1" count="1" selected="0">
            <x v="4"/>
          </reference>
        </references>
      </pivotArea>
    </chartFormat>
    <chartFormat chart="5" format="25">
      <pivotArea type="data" outline="0" fieldPosition="0">
        <references count="2">
          <reference field="4294967294" count="1" selected="0">
            <x v="0"/>
          </reference>
          <reference field="1" count="1" selected="0">
            <x v="6"/>
          </reference>
        </references>
      </pivotArea>
    </chartFormat>
    <chartFormat chart="5" format="26">
      <pivotArea type="data" outline="0" fieldPosition="0">
        <references count="2">
          <reference field="4294967294" count="1" selected="0">
            <x v="0"/>
          </reference>
          <reference field="1" count="1" selected="0">
            <x v="7"/>
          </reference>
        </references>
      </pivotArea>
    </chartFormat>
    <chartFormat chart="5" format="27">
      <pivotArea type="data" outline="0" fieldPosition="0">
        <references count="2">
          <reference field="4294967294" count="1" selected="0">
            <x v="0"/>
          </reference>
          <reference field="1" count="1" selected="0">
            <x v="5"/>
          </reference>
        </references>
      </pivotArea>
    </chartFormat>
    <chartFormat chart="5" format="28">
      <pivotArea type="data" outline="0" fieldPosition="0">
        <references count="2">
          <reference field="4294967294" count="1" selected="0">
            <x v="0"/>
          </reference>
          <reference field="1" count="1" selected="0">
            <x v="11"/>
          </reference>
        </references>
      </pivotArea>
    </chartFormat>
    <chartFormat chart="5" format="29">
      <pivotArea type="data" outline="0" fieldPosition="0">
        <references count="2">
          <reference field="4294967294" count="1" selected="0">
            <x v="0"/>
          </reference>
          <reference field="1" count="1" selected="0">
            <x v="14"/>
          </reference>
        </references>
      </pivotArea>
    </chartFormat>
    <chartFormat chart="5" format="30">
      <pivotArea type="data" outline="0" fieldPosition="0">
        <references count="2">
          <reference field="4294967294" count="1" selected="0">
            <x v="0"/>
          </reference>
          <reference field="1" count="1" selected="0">
            <x v="13"/>
          </reference>
        </references>
      </pivotArea>
    </chartFormat>
    <chartFormat chart="5" format="31">
      <pivotArea type="data" outline="0" fieldPosition="0">
        <references count="2">
          <reference field="4294967294" count="1" selected="0">
            <x v="0"/>
          </reference>
          <reference field="1" count="1" selected="0">
            <x v="12"/>
          </reference>
        </references>
      </pivotArea>
    </chartFormat>
    <chartFormat chart="5" format="32">
      <pivotArea type="data" outline="0" fieldPosition="0">
        <references count="2">
          <reference field="4294967294" count="1" selected="0">
            <x v="0"/>
          </reference>
          <reference field="1" count="1" selected="0">
            <x v="1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9"/>
          </reference>
        </references>
      </pivotArea>
    </chartFormat>
    <chartFormat chart="2" format="3">
      <pivotArea type="data" outline="0" fieldPosition="0">
        <references count="2">
          <reference field="4294967294" count="1" selected="0">
            <x v="0"/>
          </reference>
          <reference field="1" count="1" selected="0">
            <x v="8"/>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1"/>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 chart="2" format="7">
      <pivotArea type="data" outline="0" fieldPosition="0">
        <references count="2">
          <reference field="4294967294" count="1" selected="0">
            <x v="0"/>
          </reference>
          <reference field="1" count="1" selected="0">
            <x v="4"/>
          </reference>
        </references>
      </pivotArea>
    </chartFormat>
    <chartFormat chart="2" format="8">
      <pivotArea type="data" outline="0" fieldPosition="0">
        <references count="2">
          <reference field="4294967294" count="1" selected="0">
            <x v="0"/>
          </reference>
          <reference field="1" count="1" selected="0">
            <x v="6"/>
          </reference>
        </references>
      </pivotArea>
    </chartFormat>
    <chartFormat chart="2" format="9">
      <pivotArea type="data" outline="0" fieldPosition="0">
        <references count="2">
          <reference field="4294967294" count="1" selected="0">
            <x v="0"/>
          </reference>
          <reference field="1" count="1" selected="0">
            <x v="7"/>
          </reference>
        </references>
      </pivotArea>
    </chartFormat>
    <chartFormat chart="2" format="10">
      <pivotArea type="data" outline="0" fieldPosition="0">
        <references count="2">
          <reference field="4294967294" count="1" selected="0">
            <x v="0"/>
          </reference>
          <reference field="1" count="1" selected="0">
            <x v="5"/>
          </reference>
        </references>
      </pivotArea>
    </chartFormat>
    <chartFormat chart="2" format="11">
      <pivotArea type="data" outline="0" fieldPosition="0">
        <references count="2">
          <reference field="4294967294" count="1" selected="0">
            <x v="0"/>
          </reference>
          <reference field="1" count="1" selected="0">
            <x v="11"/>
          </reference>
        </references>
      </pivotArea>
    </chartFormat>
    <chartFormat chart="2" format="12">
      <pivotArea type="data" outline="0" fieldPosition="0">
        <references count="2">
          <reference field="4294967294" count="1" selected="0">
            <x v="0"/>
          </reference>
          <reference field="1" count="1" selected="0">
            <x v="14"/>
          </reference>
        </references>
      </pivotArea>
    </chartFormat>
    <chartFormat chart="2" format="13">
      <pivotArea type="data" outline="0" fieldPosition="0">
        <references count="2">
          <reference field="4294967294" count="1" selected="0">
            <x v="0"/>
          </reference>
          <reference field="1" count="1" selected="0">
            <x v="13"/>
          </reference>
        </references>
      </pivotArea>
    </chartFormat>
    <chartFormat chart="2" format="14">
      <pivotArea type="data" outline="0" fieldPosition="0">
        <references count="2">
          <reference field="4294967294" count="1" selected="0">
            <x v="0"/>
          </reference>
          <reference field="1" count="1" selected="0">
            <x v="12"/>
          </reference>
        </references>
      </pivotArea>
    </chartFormat>
    <chartFormat chart="2" format="15">
      <pivotArea type="data" outline="0" fieldPosition="0">
        <references count="2">
          <reference field="4294967294" count="1" selected="0">
            <x v="0"/>
          </reference>
          <reference field="1" count="1" selected="0">
            <x v="1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curement Cost"/>
    <pivotHierarchy dragToData="1" caption="Total Quantity Purchased"/>
    <pivotHierarchy dragToData="1" caption="Total Hospitals"/>
    <pivotHierarchy dragToData="1" caption="Total Suppliers"/>
    <pivotHierarchy dragToData="1" caption="Total Maintenance Cost (USD/year)"/>
    <pivotHierarchy dragToData="1" caption="Total Installation Cost (USD)"/>
    <pivotHierarchy dragToData="1"/>
    <pivotHierarchy dragToData="1" caption="Average Warranty Period (Months)"/>
    <pivotHierarchy dragToData="1" caption="Number of Equipment Procured"/>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24">
      <autoFilter ref="A1">
        <filterColumn colId="0">
          <top10 val="15" filterVal="15"/>
        </filterColumn>
      </autoFilter>
    </filter>
    <filter fld="1" type="count" id="2" iMeasureHier="27">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urement Dataset.xlsx!Table1">
        <x15:activeTabTopLevelEntity name="[Table1]"/>
      </x15:pivotTableUISettings>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1:A2" firstHeaderRow="1" firstDataRow="1" firstDataCol="0"/>
  <pivotFields count="1">
    <pivotField dataField="1" showAll="0"/>
  </pivotFields>
  <rowItems count="1">
    <i/>
  </rowItems>
  <colItems count="1">
    <i/>
  </colItems>
  <dataFields count="1">
    <dataField name="Total Procurement Cost" fld="0" baseField="0" baseItem="0" numFmtId="164"/>
  </dataFields>
  <formats count="1">
    <format dxfId="7">
      <pivotArea outline="0" collapsedLevelsAreSubtotals="1" fieldPosition="0"/>
    </format>
  </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curement Cos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urement Dataset.xlsx!Table1">
        <x15:activeTabTopLevelEntity name="[Table1]"/>
      </x15:pivotTableUISettings>
    </ext>
  </extLst>
</pivotTableDefinition>
</file>

<file path=xl/pivotTables/pivotTable6.xml><?xml version="1.0" encoding="utf-8"?>
<pivotTableDefinition xmlns="http://schemas.openxmlformats.org/spreadsheetml/2006/main" name="PivotTable11" cacheId="2"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9">
  <location ref="A158:B174" firstHeaderRow="1" firstDataRow="1" firstDataCol="1"/>
  <pivotFields count="3">
    <pivotField allDrilled="1" showAll="0" measureFilter="1" defaultAttributeDrillState="1">
      <items count="16">
        <item x="0"/>
        <item x="1"/>
        <item x="2"/>
        <item x="3"/>
        <item x="4"/>
        <item x="5"/>
        <item x="6"/>
        <item x="7"/>
        <item x="8"/>
        <item x="9"/>
        <item x="10"/>
        <item x="11"/>
        <item x="12"/>
        <item x="13"/>
        <item x="14"/>
        <item t="default"/>
      </items>
    </pivotField>
    <pivotField axis="axisRow" allDrilled="1" showAll="0" measureFilter="1" sortType="descending" defaultAttributeDrillState="1">
      <items count="17">
        <item x="0"/>
        <item x="1"/>
        <item x="2"/>
        <item x="3"/>
        <item x="4"/>
        <item x="5"/>
        <item x="6"/>
        <item x="7"/>
        <item x="8"/>
        <item x="9"/>
        <item x="10"/>
        <item x="11"/>
        <item x="12"/>
        <item x="13"/>
        <item x="14"/>
        <item x="15"/>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16">
    <i>
      <x v="7"/>
    </i>
    <i>
      <x v="2"/>
    </i>
    <i>
      <x/>
    </i>
    <i>
      <x v="13"/>
    </i>
    <i>
      <x v="9"/>
    </i>
    <i>
      <x v="14"/>
    </i>
    <i>
      <x v="3"/>
    </i>
    <i>
      <x v="5"/>
    </i>
    <i>
      <x v="10"/>
    </i>
    <i>
      <x v="12"/>
    </i>
    <i>
      <x v="6"/>
    </i>
    <i>
      <x v="1"/>
    </i>
    <i>
      <x v="11"/>
    </i>
    <i>
      <x v="8"/>
    </i>
    <i>
      <x v="4"/>
    </i>
    <i t="grand">
      <x/>
    </i>
  </rowItems>
  <colItems count="1">
    <i/>
  </colItems>
  <dataFields count="1">
    <dataField name="Sum of Maintenance Cost (USD/year)" fld="2" baseField="0" baseItem="0" numFmtId="164"/>
  </dataFields>
  <formats count="1">
    <format dxfId="8">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15"/>
          </reference>
        </references>
      </pivotArea>
    </chartFormat>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 count="1" selected="0">
            <x v="4"/>
          </reference>
        </references>
      </pivotArea>
    </chartFormat>
    <chartFormat chart="8" format="4">
      <pivotArea type="data" outline="0" fieldPosition="0">
        <references count="2">
          <reference field="4294967294" count="1" selected="0">
            <x v="0"/>
          </reference>
          <reference field="1" count="1" selected="0">
            <x v="8"/>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curement Cost"/>
    <pivotHierarchy dragToData="1" caption="Total Quantity Purchased"/>
    <pivotHierarchy dragToData="1" caption="Total Hospitals"/>
    <pivotHierarchy dragToData="1" caption="Total Suppliers"/>
    <pivotHierarchy dragToData="1" caption="Total Maintenance Cost (USD/year)"/>
    <pivotHierarchy dragToData="1" caption="Total Installation Cost (USD)"/>
    <pivotHierarchy dragToData="1"/>
    <pivotHierarchy dragToData="1" caption="Average Warranty Period (Months)"/>
    <pivotHierarchy dragToData="1" caption="Number of Equipment Procured"/>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3" iMeasureHier="28">
      <autoFilter ref="A1">
        <filterColumn colId="0">
          <top10 val="15" filterVal="15"/>
        </filterColumn>
      </autoFilter>
    </filter>
    <filter fld="0" type="count" id="1" iMeasureHier="24">
      <autoFilter ref="A1">
        <filterColumn colId="0">
          <top10 val="15" filterVal="1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urement Dataset.xlsx!Table1">
        <x15:activeTabTopLevelEntity name="[Table1]"/>
      </x15:pivotTableUISettings>
    </ext>
  </extLst>
</pivotTableDefinition>
</file>

<file path=xl/pivotTables/pivotTable7.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9:A10" firstHeaderRow="1" firstDataRow="1" firstDataCol="0"/>
  <pivotFields count="1">
    <pivotField dataField="1" showAll="0"/>
  </pivotFields>
  <rowItems count="1">
    <i/>
  </rowItems>
  <colItems count="1">
    <i/>
  </colItems>
  <dataFields count="1">
    <dataField name="Total Quantity Purchased" fld="0" baseField="0" baseItem="0"/>
  </dataFields>
  <formats count="1">
    <format dxfId="9">
      <pivotArea outline="0" collapsedLevelsAreSubtotals="1" fieldPosition="0"/>
    </format>
  </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curement Cost"/>
    <pivotHierarchy dragToData="1" caption="Total Quantity Purchase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urement Dataset.xlsx!Table1">
        <x15:activeTabTopLevelEntity name="[Table1]"/>
      </x15:pivotTableUISettings>
    </ext>
  </extLst>
</pivotTableDefinition>
</file>

<file path=xl/pivotTables/pivotTable8.xml><?xml version="1.0" encoding="utf-8"?>
<pivotTableDefinition xmlns="http://schemas.openxmlformats.org/spreadsheetml/2006/main" name="PivotTable4"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1:A22" firstHeaderRow="1" firstDataRow="1" firstDataCol="0"/>
  <pivotFields count="1">
    <pivotField dataField="1" showAll="0"/>
  </pivotFields>
  <rowItems count="1">
    <i/>
  </rowItems>
  <colItems count="1">
    <i/>
  </colItems>
  <dataFields count="1">
    <dataField name="Total Suppliers" fld="0" subtotal="count" baseField="0" baseItem="0"/>
  </dataFields>
  <formats count="1">
    <format dxfId="10">
      <pivotArea outline="0" collapsedLevelsAreSubtotals="1" fieldPosition="0"/>
    </format>
  </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curement Cost"/>
    <pivotHierarchy dragToData="1" caption="Total Quantity Purchased"/>
    <pivotHierarchy dragToData="1" caption="Total Hospitals"/>
    <pivotHierarchy dragToData="1" caption="Total Suppliers"/>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urement Dataset.xlsx!Table1">
        <x15:activeTabTopLevelEntity name="[Table1]"/>
      </x15:pivotTableUISettings>
    </ext>
  </extLst>
</pivotTableDefinition>
</file>

<file path=xl/pivotTables/pivotTable9.xml><?xml version="1.0" encoding="utf-8"?>
<pivotTableDefinition xmlns="http://schemas.openxmlformats.org/spreadsheetml/2006/main" name="PivotTable5"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9:A30" firstHeaderRow="1" firstDataRow="1" firstDataCol="0"/>
  <pivotFields count="1">
    <pivotField dataField="1" showAll="0"/>
  </pivotFields>
  <rowItems count="1">
    <i/>
  </rowItems>
  <colItems count="1">
    <i/>
  </colItems>
  <dataFields count="1">
    <dataField name="Total Maintenance Cost (USD/year)" fld="0" baseField="0" baseItem="0" numFmtId="164"/>
  </dataFields>
  <formats count="1">
    <format dxfId="11">
      <pivotArea outline="0" collapsedLevelsAreSubtotals="1" fieldPosition="0"/>
    </format>
  </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curement Cost"/>
    <pivotHierarchy dragToData="1" caption="Total Quantity Purchased"/>
    <pivotHierarchy dragToData="1" caption="Total Hospitals"/>
    <pivotHierarchy dragToData="1" caption="Total Suppliers"/>
    <pivotHierarchy dragToData="1" caption="Total Maintenance Cost (USD/year)"/>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urement Dataset.xlsx!Table1">
        <x15:activeTabTopLevelEntity name="[Table1]"/>
      </x15:pivotTableUISettings>
    </ext>
  </extLst>
</pivotTableDefinition>
</file>

<file path=xl/pivotTables/pivotTable10.xml><?xml version="1.0" encoding="utf-8"?>
<pivotTableDefinition xmlns="http://schemas.openxmlformats.org/spreadsheetml/2006/main" name="PivotTable7"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47:A48" firstHeaderRow="1" firstDataRow="1" firstDataCol="0"/>
  <pivotFields count="1">
    <pivotField dataField="1" showAll="0"/>
  </pivotFields>
  <rowItems count="1">
    <i/>
  </rowItems>
  <colItems count="1">
    <i/>
  </colItems>
  <dataFields count="1">
    <dataField name="Average Warranty Period (Months)" fld="0" subtotal="average" baseField="0" baseItem="335510856"/>
  </dataFields>
  <formats count="1">
    <format dxfId="12">
      <pivotArea outline="0" collapsedLevelsAreSubtotals="1" fieldPosition="0"/>
    </format>
  </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curement Cost"/>
    <pivotHierarchy dragToData="1" caption="Total Quantity Purchased"/>
    <pivotHierarchy dragToData="1" caption="Total Hospitals"/>
    <pivotHierarchy dragToData="1" caption="Total Suppliers"/>
    <pivotHierarchy dragToData="1" caption="Total Maintenance Cost (USD/year)"/>
    <pivotHierarchy dragToData="1" caption="Total Installation Cost (USD)"/>
    <pivotHierarchy dragToData="1"/>
    <pivotHierarchy dragToData="1" caption="Average Warranty Period (Months)"/>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urement Dataset.xlsx!Table1">
        <x15:activeTabTopLevelEntity name="[Table1]"/>
      </x15:pivotTableUISettings>
    </ext>
  </extLst>
</pivotTableDefinition>
</file>

<file path=xl/pivotTables/pivotTable11.xml><?xml version="1.0" encoding="utf-8"?>
<pivotTableDefinition xmlns="http://schemas.openxmlformats.org/spreadsheetml/2006/main" name="PivotTable9" cacheId="11"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4">
  <location ref="A73:B89" firstHeaderRow="1" firstDataRow="1" firstDataCol="1"/>
  <pivotFields count="2">
    <pivotField axis="axisRow" allDrilled="1" showAll="0" measureFilter="1" sortType="descending" defaultAttributeDrillState="1">
      <items count="16">
        <item x="0"/>
        <item x="1"/>
        <item x="2"/>
        <item x="3"/>
        <item x="4"/>
        <item x="5"/>
        <item x="6"/>
        <item x="7"/>
        <item x="8"/>
        <item x="9"/>
        <item x="10"/>
        <item x="11"/>
        <item x="12"/>
        <item x="13"/>
        <item x="14"/>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6">
    <i>
      <x v="11"/>
    </i>
    <i>
      <x v="14"/>
    </i>
    <i>
      <x v="3"/>
    </i>
    <i>
      <x v="2"/>
    </i>
    <i>
      <x v="5"/>
    </i>
    <i>
      <x/>
    </i>
    <i>
      <x v="9"/>
    </i>
    <i>
      <x v="4"/>
    </i>
    <i>
      <x v="13"/>
    </i>
    <i>
      <x v="8"/>
    </i>
    <i>
      <x v="1"/>
    </i>
    <i>
      <x v="7"/>
    </i>
    <i>
      <x v="6"/>
    </i>
    <i>
      <x v="10"/>
    </i>
    <i>
      <x v="12"/>
    </i>
    <i t="grand">
      <x/>
    </i>
  </rowItems>
  <colItems count="1">
    <i/>
  </colItems>
  <dataFields count="1">
    <dataField name="Sum of Total Procurement Cost" fld="1" baseField="0" baseItem="0" numFmtId="164"/>
  </dataFields>
  <formats count="1">
    <format dxfId="13">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curement Cost"/>
    <pivotHierarchy dragToData="1" caption="Total Quantity Purchased"/>
    <pivotHierarchy dragToData="1" caption="Total Hospitals"/>
    <pivotHierarchy dragToData="1" caption="Total Suppliers"/>
    <pivotHierarchy dragToData="1" caption="Total Maintenance Cost (USD/year)"/>
    <pivotHierarchy dragToData="1" caption="Total Installation Cost (USD)"/>
    <pivotHierarchy dragToData="1"/>
    <pivotHierarchy dragToData="1" caption="Average Warranty Period (Months)"/>
    <pivotHierarchy dragToData="1" caption="Number of Equipment Procured"/>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5" filterVal="1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urement Dataset.xlsx!Table1">
        <x15:activeTabTopLevelEntity name="[Table1]"/>
      </x15:pivotTableUISettings>
    </ext>
  </extLst>
</pivotTableDefinition>
</file>

<file path=xl/pivotTables/pivotTable12.xml><?xml version="1.0" encoding="utf-8"?>
<pivotTableDefinition xmlns="http://schemas.openxmlformats.org/spreadsheetml/2006/main" name="PivotTable12" cacheId="14"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5">
  <location ref="A197:B218" firstHeaderRow="1" firstDataRow="1" firstDataCol="1"/>
  <pivotFields count="3">
    <pivotField allDrilled="1" showAll="0" measureFilter="1" defaultAttributeDrillState="1">
      <items count="16">
        <item x="0"/>
        <item x="1"/>
        <item x="2"/>
        <item x="3"/>
        <item x="4"/>
        <item x="5"/>
        <item x="6"/>
        <item x="7"/>
        <item x="8"/>
        <item x="9"/>
        <item x="10"/>
        <item x="11"/>
        <item x="12"/>
        <item x="13"/>
        <item x="14"/>
        <item t="default"/>
      </items>
    </pivotField>
    <pivotField axis="axisRow" allDrilled="1" showAll="0" measureFilter="1" sortType="descending" dataSourceSort="1" defaultAttributeDrillState="1">
      <items count="21">
        <item x="0"/>
        <item x="1"/>
        <item x="2"/>
        <item x="3"/>
        <item x="4"/>
        <item x="5"/>
        <item x="6"/>
        <item x="7"/>
        <item x="8"/>
        <item x="9"/>
        <item x="10"/>
        <item x="11"/>
        <item x="12"/>
        <item x="13"/>
        <item x="14"/>
        <item x="15"/>
        <item x="16"/>
        <item x="17"/>
        <item x="18"/>
        <item x="19"/>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21">
    <i>
      <x v="9"/>
    </i>
    <i>
      <x v="19"/>
    </i>
    <i>
      <x v="2"/>
    </i>
    <i>
      <x v="6"/>
    </i>
    <i>
      <x v="4"/>
    </i>
    <i>
      <x v="10"/>
    </i>
    <i>
      <x v="14"/>
    </i>
    <i>
      <x v="3"/>
    </i>
    <i>
      <x v="17"/>
    </i>
    <i>
      <x v="7"/>
    </i>
    <i>
      <x v="13"/>
    </i>
    <i>
      <x v="8"/>
    </i>
    <i>
      <x v="16"/>
    </i>
    <i>
      <x v="1"/>
    </i>
    <i>
      <x v="18"/>
    </i>
    <i>
      <x v="11"/>
    </i>
    <i>
      <x v="12"/>
    </i>
    <i>
      <x/>
    </i>
    <i>
      <x v="5"/>
    </i>
    <i>
      <x v="15"/>
    </i>
    <i t="grand">
      <x/>
    </i>
  </rowItems>
  <colItems count="1">
    <i/>
  </colItems>
  <dataFields count="1">
    <dataField name="Average of Delivery Days" fld="2" subtotal="average" baseField="1" baseItem="0" numFmtId="2"/>
  </dataFields>
  <formats count="1">
    <format dxfId="14">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curement Cost"/>
    <pivotHierarchy dragToData="1" caption="Total Quantity Purchased"/>
    <pivotHierarchy dragToData="1" caption="Total Hospitals"/>
    <pivotHierarchy dragToData="1" caption="Total Suppliers"/>
    <pivotHierarchy dragToData="1" caption="Total Maintenance Cost (USD/year)"/>
    <pivotHierarchy dragToData="1" caption="Total Installation Cost (USD)"/>
    <pivotHierarchy dragToData="1"/>
    <pivotHierarchy dragToData="1" caption="Average Warranty Period (Months)"/>
    <pivotHierarchy dragToData="1" caption="Number of Equipment Procured"/>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24">
      <autoFilter ref="A1">
        <filterColumn colId="0">
          <top10 val="15" filterVal="15"/>
        </filterColumn>
      </autoFilter>
    </filter>
    <filter fld="1" type="count" id="2" iMeasureHier="34">
      <autoFilter ref="A1">
        <filterColumn colId="0">
          <top10 val="20" filterVal="2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urement Dataset.xlsx!Table1">
        <x15:activeTabTopLevelEntity name="[Table1]"/>
      </x15:pivotTableUISettings>
    </ext>
  </extLst>
</pivotTableDefinition>
</file>

<file path=xl/pivotTables/pivotTable13.xml><?xml version="1.0" encoding="utf-8"?>
<pivotTableDefinition xmlns="http://schemas.openxmlformats.org/spreadsheetml/2006/main" name="PivotTable13" cacheId="12"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5">
  <location ref="A239:B260" firstHeaderRow="1" firstDataRow="1" firstDataCol="1"/>
  <pivotFields count="3">
    <pivotField allDrilled="1" showAll="0" defaultAttributeDrillState="1"/>
    <pivotField axis="axisRow" allDrilled="1" showAll="0" measureFilter="1" sortType="descending" defaultAttributeDrillState="1">
      <items count="21">
        <item x="0"/>
        <item x="1"/>
        <item x="2"/>
        <item x="3"/>
        <item x="4"/>
        <item x="5"/>
        <item x="6"/>
        <item x="7"/>
        <item x="8"/>
        <item x="9"/>
        <item x="10"/>
        <item x="11"/>
        <item x="12"/>
        <item x="13"/>
        <item x="14"/>
        <item x="15"/>
        <item x="16"/>
        <item x="17"/>
        <item x="18"/>
        <item x="19"/>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21">
    <i>
      <x v="15"/>
    </i>
    <i>
      <x v="14"/>
    </i>
    <i>
      <x v="10"/>
    </i>
    <i>
      <x v="11"/>
    </i>
    <i>
      <x v="4"/>
    </i>
    <i>
      <x v="12"/>
    </i>
    <i>
      <x v="9"/>
    </i>
    <i>
      <x v="7"/>
    </i>
    <i>
      <x v="13"/>
    </i>
    <i>
      <x v="1"/>
    </i>
    <i>
      <x v="5"/>
    </i>
    <i>
      <x v="8"/>
    </i>
    <i>
      <x/>
    </i>
    <i>
      <x v="3"/>
    </i>
    <i>
      <x v="18"/>
    </i>
    <i>
      <x v="17"/>
    </i>
    <i>
      <x v="19"/>
    </i>
    <i>
      <x v="6"/>
    </i>
    <i>
      <x v="16"/>
    </i>
    <i>
      <x v="2"/>
    </i>
    <i t="grand">
      <x/>
    </i>
  </rowItems>
  <colItems count="1">
    <i/>
  </colItems>
  <dataFields count="1">
    <dataField name="Sum of Installation Cost (USD)" fld="2" baseField="0" baseItem="0" numFmtId="164"/>
  </dataFields>
  <formats count="1">
    <format dxfId="1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curement Cost"/>
    <pivotHierarchy dragToData="1" caption="Total Quantity Purchased"/>
    <pivotHierarchy dragToData="1" caption="Total Hospitals"/>
    <pivotHierarchy dragToData="1" caption="Total Suppliers"/>
    <pivotHierarchy dragToData="1" caption="Total Maintenance Cost (USD/year)"/>
    <pivotHierarchy dragToData="1" caption="Total Installation Cost (USD)"/>
    <pivotHierarchy dragToData="1"/>
    <pivotHierarchy dragToData="1" caption="Average Warranty Period (Months)"/>
    <pivotHierarchy dragToData="1" caption="Number of Equipment Procured"/>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29">
      <autoFilter ref="A1">
        <filterColumn colId="0">
          <top10 val="20" filterVal="2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urement Dataset.xlsx!Table1">
        <x15:activeTabTopLevelEntity name="[Table1]"/>
      </x15:pivotTableUISettings>
    </ext>
  </extLst>
</pivotTableDefinition>
</file>

<file path=xl/pivotTables/pivotTable14.xml><?xml version="1.0" encoding="utf-8"?>
<pivotTableDefinition xmlns="http://schemas.openxmlformats.org/spreadsheetml/2006/main" name="PivotTable10" cacheId="18"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4">
  <location ref="A112:E119" firstHeaderRow="1" firstDataRow="2" firstDataCol="1"/>
  <pivotFields count="4">
    <pivotField allDrilled="1" showAll="0" measureFilter="1" defaultAttributeDrillState="1">
      <items count="16">
        <item x="0"/>
        <item x="1"/>
        <item x="2"/>
        <item x="3"/>
        <item x="4"/>
        <item x="5"/>
        <item x="6"/>
        <item x="7"/>
        <item x="8"/>
        <item x="9"/>
        <item x="10"/>
        <item x="11"/>
        <item x="12"/>
        <item x="13"/>
        <item x="14"/>
        <item t="default"/>
      </items>
    </pivotField>
    <pivotField axis="axisRow" allDrilled="1" showAll="0" measureFilter="1" dataSourceSort="1" defaultAttributeDrillState="1">
      <items count="7">
        <item x="0"/>
        <item x="1"/>
        <item x="2"/>
        <item x="3"/>
        <item x="4"/>
        <item x="5"/>
        <item t="default"/>
      </items>
    </pivotField>
    <pivotField axis="axisCol" allDrilled="1" showAll="0" dataSourceSort="1" defaultAttributeDrillState="1">
      <items count="5">
        <item x="0"/>
        <item x="1"/>
        <item x="2"/>
        <item x="3"/>
        <item t="default"/>
      </items>
    </pivotField>
    <pivotField dataField="1" showAll="0"/>
  </pivotFields>
  <rowFields count="1">
    <field x="1"/>
  </rowFields>
  <rowItems count="6">
    <i>
      <x/>
    </i>
    <i>
      <x v="1"/>
    </i>
    <i>
      <x v="2"/>
    </i>
    <i>
      <x v="3"/>
    </i>
    <i>
      <x v="4"/>
    </i>
    <i t="grand">
      <x/>
    </i>
  </rowItems>
  <colFields count="1">
    <field x="2"/>
  </colFields>
  <colItems count="4">
    <i>
      <x/>
    </i>
    <i>
      <x v="1"/>
    </i>
    <i>
      <x v="2"/>
    </i>
    <i t="grand">
      <x/>
    </i>
  </colItems>
  <dataFields count="1">
    <dataField name="Count of Equipment" fld="3" subtotal="count" baseField="0" baseItem="0"/>
  </dataFields>
  <formats count="1">
    <format dxfId="16">
      <pivotArea outline="0" collapsedLevelsAreSubtotals="1" fieldPosition="0"/>
    </format>
  </formats>
  <chartFormats count="9">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3"/>
          </reference>
        </references>
      </pivotArea>
    </chartFormat>
    <chartFormat chart="0" format="3" series="1">
      <pivotArea type="data" outline="0" fieldPosition="0">
        <references count="2">
          <reference field="4294967294" count="1" selected="0">
            <x v="0"/>
          </reference>
          <reference field="2" count="1" selected="0">
            <x v="2"/>
          </reference>
        </references>
      </pivotArea>
    </chartFormat>
    <chartFormat chart="3" format="8" series="1">
      <pivotArea type="data" outline="0" fieldPosition="0">
        <references count="2">
          <reference field="4294967294" count="1" selected="0">
            <x v="0"/>
          </reference>
          <reference field="2" count="1" selected="0">
            <x v="0"/>
          </reference>
        </references>
      </pivotArea>
    </chartFormat>
    <chartFormat chart="3" format="9" series="1">
      <pivotArea type="data" outline="0" fieldPosition="0">
        <references count="2">
          <reference field="4294967294" count="1" selected="0">
            <x v="0"/>
          </reference>
          <reference field="2" count="1" selected="0">
            <x v="1"/>
          </reference>
        </references>
      </pivotArea>
    </chartFormat>
    <chartFormat chart="3" format="10" series="1">
      <pivotArea type="data" outline="0" fieldPosition="0">
        <references count="2">
          <reference field="4294967294" count="1" selected="0">
            <x v="0"/>
          </reference>
          <reference field="2" count="1" selected="0">
            <x v="3"/>
          </reference>
        </references>
      </pivotArea>
    </chartFormat>
    <chartFormat chart="3" format="11" series="1">
      <pivotArea type="data" outline="0" fieldPosition="0">
        <references count="2">
          <reference field="4294967294" count="1" selected="0">
            <x v="0"/>
          </reference>
          <reference field="2" count="1" selected="0">
            <x v="2"/>
          </reference>
        </references>
      </pivotArea>
    </chartFormat>
    <chartFormat chart="3" format="12">
      <pivotArea type="data" outline="0" fieldPosition="0">
        <references count="3">
          <reference field="4294967294" count="1" selected="0">
            <x v="0"/>
          </reference>
          <reference field="1" count="1" selected="0">
            <x v="5"/>
          </reference>
          <reference field="2" count="1" selected="0">
            <x v="0"/>
          </reference>
        </references>
      </pivotArea>
    </chartFormat>
  </chart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curement Cost"/>
    <pivotHierarchy dragToData="1" caption="Total Quantity Purchased"/>
    <pivotHierarchy dragToData="1" caption="Total Hospitals"/>
    <pivotHierarchy dragToData="1" caption="Total Suppliers"/>
    <pivotHierarchy dragToData="1" caption="Total Maintenance Cost (USD/year)"/>
    <pivotHierarchy dragToData="1" caption="Total Installation Cost (USD)"/>
    <pivotHierarchy dragToData="1"/>
    <pivotHierarchy dragToData="1" caption="Average Warranty Period (Months)"/>
    <pivotHierarchy dragToData="1" caption="Number of Equipment Procured"/>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24">
      <autoFilter ref="A1">
        <filterColumn colId="0">
          <top10 val="15" filterVal="15"/>
        </filterColumn>
      </autoFilter>
    </filter>
    <filter fld="1" type="count" id="2" iMeasureHier="32">
      <autoFilter ref="A1">
        <filterColumn colId="0">
          <top10 val="5" filterVal="5"/>
        </filterColumn>
      </autoFilter>
    </filter>
  </filters>
  <rowHierarchiesUsage count="1">
    <rowHierarchyUsage hierarchyUsage="4"/>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urement Dataset.xlsx!Table1">
        <x15:activeTabTopLevelEntity name="[Table1]"/>
      </x15:pivotTableUISettings>
    </ext>
  </extLst>
</pivotTableDefinition>
</file>

<file path=xl/pivotTables/pivotTable15.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5:A16" firstHeaderRow="1" firstDataRow="1" firstDataCol="0"/>
  <pivotFields count="1">
    <pivotField dataField="1" showAll="0"/>
  </pivotFields>
  <rowItems count="1">
    <i/>
  </rowItems>
  <colItems count="1">
    <i/>
  </colItems>
  <dataFields count="1">
    <dataField name="Total Hospitals" fld="0" subtotal="count" baseField="0" baseItem="0"/>
  </dataFields>
  <formats count="1">
    <format dxfId="17">
      <pivotArea outline="0" collapsedLevelsAreSubtotals="1" fieldPosition="0"/>
    </format>
  </formats>
  <pivotHierarchies count="3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curement Cost"/>
    <pivotHierarchy dragToData="1" caption="Total Quantity Purchased"/>
    <pivotHierarchy dragToData="1" caption="Total Hospitals"/>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curement Dataset.xlsx!Table1">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Hospital" sourceName="[Table1].[Hospital]">
  <pivotTables>
    <pivotTable tabId="3" name="PivotTable13"/>
  </pivotTables>
  <data>
    <olap pivotCacheId="1">
      <levels count="2">
        <level uniqueName="[Table1].[Hospital].[(All)]" sourceCaption="(All)" count="0"/>
        <level uniqueName="[Table1].[Hospital].[Hospital]" sourceCaption="Hospital" count="92">
          <ranges>
            <range startItem="0">
              <i n="[Table1].[Hospital].&amp;[ Aba Medical Center]" c=" Aba Medical Center"/>
              <i n="[Table1].[Hospital].&amp;[ Abakaliki General Hospital]" c=" Abakaliki General Hospital"/>
              <i n="[Table1].[Hospital].&amp;[ Abakaliki Hospital]" c=" Abakaliki Hospital"/>
              <i n="[Table1].[Hospital].&amp;[ Abeokuta General]" c=" Abeokuta General"/>
              <i n="[Table1].[Hospital].&amp;[ Abeokuta General Hospital]" c=" Abeokuta General Hospital"/>
              <i n="[Table1].[Hospital].&amp;[ Abeokuta Specialist Hosp]" c=" Abeokuta Specialist Hosp"/>
              <i n="[Table1].[Hospital].&amp;[ Abuja Central Hospital]" c=" Abuja Central Hospital"/>
              <i n="[Table1].[Hospital].&amp;[ Abuja Hospital]" c=" Abuja Hospital"/>
              <i n="[Table1].[Hospital].&amp;[ Ado-Ekiti Medical]" c=" Ado-Ekiti Medical"/>
              <i n="[Table1].[Hospital].&amp;[ Ado-Ekiti Medical Center]" c=" Ado-Ekiti Medical Center"/>
              <i n="[Table1].[Hospital].&amp;[ Akure Medical Center]" c=" Akure Medical Center"/>
              <i n="[Table1].[Hospital].&amp;[ Asaba Medical Center]" c=" Asaba Medical Center"/>
              <i n="[Table1].[Hospital].&amp;[ Awka General]" c=" Awka General"/>
              <i n="[Table1].[Hospital].&amp;[ Awka Medical Center]" c=" Awka Medical Center"/>
              <i n="[Table1].[Hospital].&amp;[ Bauchi General]" c=" Bauchi General"/>
              <i n="[Table1].[Hospital].&amp;[ Bauchi National Hospital]" c=" Bauchi National Hospital"/>
              <i n="[Table1].[Hospital].&amp;[ Benin City General Hospital]" c=" Benin City General Hospital"/>
              <i n="[Table1].[Hospital].&amp;[ Benin City Hosp]" c=" Benin City Hosp"/>
              <i n="[Table1].[Hospital].&amp;[ Calabar General Hospital]" c=" Calabar General Hospital"/>
              <i n="[Table1].[Hospital].&amp;[ Calabar Medical]" c=" Calabar Medical"/>
              <i n="[Table1].[Hospital].&amp;[ Damaturu Hospital]" c=" Damaturu Hospital"/>
              <i n="[Table1].[Hospital].&amp;[ Dutse General Hospital]" c=" Dutse General Hospital"/>
              <i n="[Table1].[Hospital].&amp;[ Egbe Specialist]" c=" Egbe Specialist"/>
              <i n="[Table1].[Hospital].&amp;[ Enugu General]" c=" Enugu General"/>
              <i n="[Table1].[Hospital].&amp;[ Enugu State Hospital]" c=" Enugu State Hospital"/>
              <i n="[Table1].[Hospital].&amp;[ Epe Medical]" c=" Epe Medical"/>
              <i n="[Table1].[Hospital].&amp;[ Gombe General Hospital]" c=" Gombe General Hospital"/>
              <i n="[Table1].[Hospital].&amp;[ Gombe Specialist]" c=" Gombe Specialist"/>
              <i n="[Table1].[Hospital].&amp;[ Gusau General Hospital]" c=" Gusau General Hospital"/>
              <i n="[Table1].[Hospital].&amp;[ Ibadan Clinic]" c=" Ibadan Clinic"/>
              <i n="[Table1].[Hospital].&amp;[ Ibadan National Hospital]" c=" Ibadan National Hospital"/>
              <i n="[Table1].[Hospital].&amp;[ Ibadan Teaching Hospital]" c=" Ibadan Teaching Hospital"/>
              <i n="[Table1].[Hospital].&amp;[ Idanre General]" c=" Idanre General"/>
              <i n="[Table1].[Hospital].&amp;[ Ife Central]" c=" Ife Central"/>
              <i n="[Table1].[Hospital].&amp;[ Ifo Medical]" c=" Ifo Medical"/>
              <i n="[Table1].[Hospital].&amp;[ Ijebu-Igbo General]" c=" Ijebu-Igbo General"/>
              <i n="[Table1].[Hospital].&amp;[ Ijebu-Ode General]" c=" Ijebu-Ode General"/>
              <i n="[Table1].[Hospital].&amp;[ Ijero-Ekiti Hosp]" c=" Ijero-Ekiti Hosp"/>
              <i n="[Table1].[Hospital].&amp;[ Ikare Specialist]" c=" Ikare Specialist"/>
              <i n="[Table1].[Hospital].&amp;[ Ikeja General]" c=" Ikeja General"/>
              <i n="[Table1].[Hospital].&amp;[ Ikirun General]" c=" Ikirun General"/>
              <i n="[Table1].[Hospital].&amp;[ Ikom Medical]" c=" Ikom Medical"/>
              <i n="[Table1].[Hospital].&amp;[ Ikot-Ekpene Hosp]" c=" Ikot-Ekpene Hosp"/>
              <i n="[Table1].[Hospital].&amp;[ Ilaro Medical]" c=" Ilaro Medical"/>
              <i n="[Table1].[Hospital].&amp;[ Ile-Ife General]" c=" Ile-Ife General"/>
              <i n="[Table1].[Hospital].&amp;[ Ilobu Medical]" c=" Ilobu Medical"/>
              <i n="[Table1].[Hospital].&amp;[ Ilorin Central]" c=" Ilorin Central"/>
              <i n="[Table1].[Hospital].&amp;[ Ilorin University Hospital]" c=" Ilorin University Hospital"/>
              <i n="[Table1].[Hospital].&amp;[ Ipoti General]" c=" Ipoti General"/>
              <i n="[Table1].[Hospital].&amp;[ Iragbiji Hospital]" c=" Iragbiji Hospital"/>
              <i n="[Table1].[Hospital].&amp;[ Iseyin Medical]" c=" Iseyin Medical"/>
              <i n="[Table1].[Hospital].&amp;[ Jalingo Federal Medical Center]" c=" Jalingo Federal Medical Center"/>
              <i n="[Table1].[Hospital].&amp;[ Jos Teaching]" c=" Jos Teaching"/>
              <i n="[Table1].[Hospital].&amp;[ Jos University Teaching Hospital]" c=" Jos University Teaching Hospital"/>
              <i n="[Table1].[Hospital].&amp;[ Kaduna Clinic]" c=" Kaduna Clinic"/>
              <i n="[Table1].[Hospital].&amp;[ Kaduna National Hospital]" c=" Kaduna National Hospital"/>
              <i n="[Table1].[Hospital].&amp;[ Kano Medical]" c=" Kano Medical"/>
              <i n="[Table1].[Hospital].&amp;[ Kano National Hospital]" c=" Kano National Hospital"/>
              <i n="[Table1].[Hospital].&amp;[ Keffi Federal Medical Center]" c=" Keffi Federal Medical Center"/>
              <i n="[Table1].[Hospital].&amp;[ Lafia Federal Medical Center]" c=" Lafia Federal Medical Center"/>
              <i n="[Table1].[Hospital].&amp;[ Lagos General]" c=" Lagos General"/>
              <i n="[Table1].[Hospital].&amp;[ Lokoja General Hospital]" c=" Lokoja General Hospital"/>
              <i n="[Table1].[Hospital].&amp;[ Lokoja Medical]" c=" Lokoja Medical"/>
              <i n="[Table1].[Hospital].&amp;[ Lokoja Medical Center]" c=" Lokoja Medical Center"/>
              <i n="[Table1].[Hospital].&amp;[ Maiduguri General]" c=" Maiduguri General"/>
              <i n="[Table1].[Hospital].&amp;[ Maiduguri General Hospital]" c=" Maiduguri General Hospital"/>
              <i n="[Table1].[Hospital].&amp;[ Makurdi General Hospital]" c=" Makurdi General Hospital"/>
              <i n="[Table1].[Hospital].&amp;[ Makurdi Hospital]" c=" Makurdi Hospital"/>
              <i n="[Table1].[Hospital].&amp;[ Minna Federal Medical Center]" c=" Minna Federal Medical Center"/>
              <i n="[Table1].[Hospital].&amp;[ Ode-Ekiti Medical]" c=" Ode-Ekiti Medical"/>
              <i n="[Table1].[Hospital].&amp;[ Ogaminana General]" c=" Ogaminana General"/>
              <i n="[Table1].[Hospital].&amp;[ Ogbomoso General Hospital]" c=" Ogbomoso General Hospital"/>
              <i n="[Table1].[Hospital].&amp;[ Okene Medical]" c=" Okene Medical"/>
              <i n="[Table1].[Hospital].&amp;[ Oshogbo General Hospital]" c=" Oshogbo General Hospital"/>
              <i n="[Table1].[Hospital].&amp;[ Osogbo Regional]" c=" Osogbo Regional"/>
              <i n="[Table1].[Hospital].&amp;[ Otukpo Hospital]" c=" Otukpo Hospital"/>
              <i n="[Table1].[Hospital].&amp;[ Owerri General Hospital]" c=" Owerri General Hospital"/>
              <i n="[Table1].[Hospital].&amp;[ Owerri Medical]" c=" Owerri Medical"/>
              <i n="[Table1].[Hospital].&amp;[ Port Harcourt]" c=" Port Harcourt"/>
              <i n="[Table1].[Hospital].&amp;[ Port Harcourt General]" c=" Port Harcourt General"/>
              <i n="[Table1].[Hospital].&amp;[ Sapele General]" c=" Sapele General"/>
              <i n="[Table1].[Hospital].&amp;[ Sokoto General Hospital]" c=" Sokoto General Hospital"/>
              <i n="[Table1].[Hospital].&amp;[ Sokoto Teaching]" c=" Sokoto Teaching"/>
              <i n="[Table1].[Hospital].&amp;[ Umuahia General Hospital]" c=" Umuahia General Hospital"/>
              <i n="[Table1].[Hospital].&amp;[ Umuahia Medical]" c=" Umuahia Medical"/>
              <i n="[Table1].[Hospital].&amp;[ Uyo General Hospital]" c=" Uyo General Hospital"/>
              <i n="[Table1].[Hospital].&amp;[ Uyo Specialist]" c=" Uyo Specialist"/>
              <i n="[Table1].[Hospital].&amp;[ Warri General]" c=" Warri General"/>
              <i n="[Table1].[Hospital].&amp;[ Warri General Hospital]" c=" Warri General Hospital"/>
              <i n="[Table1].[Hospital].&amp;[ Yenagoa Medical Center]" c=" Yenagoa Medical Center"/>
              <i n="[Table1].[Hospital].&amp;[ Yola Federal Medical Center]" c=" Yola Federal Medical Center"/>
              <i n="[Table1].[Hospital].&amp;[ Yola Medical]" c=" Yola Medical"/>
            </range>
          </ranges>
        </level>
      </levels>
      <selections count="1">
        <selection n="[Table1].[Hospita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upplier" sourceName="[Table1].[Supplier]">
  <pivotTables>
    <pivotTable tabId="3" name="PivotTable14"/>
  </pivotTables>
  <data>
    <olap pivotCacheId="1">
      <levels count="2">
        <level uniqueName="[Table1].[Supplier].[(All)]" sourceCaption="(All)" count="0"/>
        <level uniqueName="[Table1].[Supplier].[Supplier]" sourceCaption="Supplier" count="40">
          <ranges>
            <range startItem="0">
              <i n="[Table1].[Supplier].&amp;[ AnesthTech]" c=" AnesthTech"/>
              <i n="[Table1].[Supplier].&amp;[ BioTech]" c=" BioTech"/>
              <i n="[Table1].[Supplier].&amp;[ CardiaTech]" c=" CardiaTech"/>
              <i n="[Table1].[Supplier].&amp;[ CardioCare]" c=" CardioCare"/>
              <i n="[Table1].[Supplier].&amp;[ CardioTech]" c=" CardioTech"/>
              <i n="[Table1].[Supplier].&amp;[ DermaTech]" c=" DermaTech"/>
              <i n="[Table1].[Supplier].&amp;[ DermiCare]" c=" DermiCare"/>
              <i n="[Table1].[Supplier].&amp;[ ENT Solutions]" c=" ENT Solutions"/>
              <i n="[Table1].[Supplier].&amp;[ EyeTech]" c=" EyeTech"/>
              <i n="[Table1].[Supplier].&amp;[ FluoroTech]" c=" FluoroTech"/>
              <i n="[Table1].[Supplier].&amp;[ GastroTech]" c=" GastroTech"/>
              <i n="[Table1].[Supplier].&amp;[ GynoTech]" c=" GynoTech"/>
              <i n="[Table1].[Supplier].&amp;[ HearTech]" c=" HearTech"/>
              <i n="[Table1].[Supplier].&amp;[ HemoTech]" c=" HemoTech"/>
              <i n="[Table1].[Supplier].&amp;[ Imagix]" c=" Imagix"/>
              <i n="[Table1].[Supplier].&amp;[ LifeSaver]" c=" LifeSaver"/>
              <i n="[Table1].[Supplier].&amp;[ MammoTech]" c=" MammoTech"/>
              <i n="[Table1].[Supplier].&amp;[ MedImaging]" c=" MedImaging"/>
              <i n="[Table1].[Supplier].&amp;[ MedTech Inc.]" c=" MedTech Inc."/>
              <i n="[Table1].[Supplier].&amp;[ MRI Solutions]" c=" MRI Solutions"/>
              <i n="[Table1].[Supplier].&amp;[ NeoCare]" c=" NeoCare"/>
              <i n="[Table1].[Supplier].&amp;[ NephroCare]" c=" NephroCare"/>
              <i n="[Table1].[Supplier].&amp;[ NeuroSurg]" c=" NeuroSurg"/>
              <i n="[Table1].[Supplier].&amp;[ NeuroTech]" c=" NeuroTech"/>
              <i n="[Table1].[Supplier].&amp;[ OncoCare]" c=" OncoCare"/>
              <i n="[Table1].[Supplier].&amp;[ OncoTech]" c=" OncoTech"/>
              <i n="[Table1].[Supplier].&amp;[ OrthoTech]" c=" OrthoTech"/>
              <i n="[Table1].[Supplier].&amp;[ PsychiCare]" c=" PsychiCare"/>
              <i n="[Table1].[Supplier].&amp;[ PulmoTech]" c=" PulmoTech"/>
              <i n="[Table1].[Supplier].&amp;[ RadiantTech]" c=" RadiantTech"/>
              <i n="[Table1].[Supplier].&amp;[ RadSource]" c=" RadSource"/>
              <i n="[Table1].[Supplier].&amp;[ RespCare]" c=" RespCare"/>
              <i n="[Table1].[Supplier].&amp;[ RespTech]" c=" RespTech"/>
              <i n="[Table1].[Supplier].&amp;[ ScanTech]" c=" ScanTech"/>
              <i n="[Table1].[Supplier].&amp;[ Sonoscan]" c=" Sonoscan"/>
              <i n="[Table1].[Supplier].&amp;[ SteriTech]" c=" SteriTech"/>
              <i n="[Table1].[Supplier].&amp;[ SurgiEquip]" c=" SurgiEquip"/>
              <i n="[Table1].[Supplier].&amp;[ SurgiSupplies]" c=" SurgiSupplies"/>
              <i n="[Table1].[Supplier].&amp;[ UltraMed]" c=" UltraMed"/>
              <i n="[Table1].[Supplier].&amp;[ UroMed]" c=" UroMed"/>
            </range>
          </ranges>
        </level>
      </levels>
      <selections count="1">
        <selection n="[Table1].[Suppli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Hospital" cache="Slicer_Hospital" caption="Hospital" columnCount="2" level="1" style="Slicer Style 7" rowHeight="222250"/>
  <slicer name="Supplier" cache="Slicer_Supplier" caption="Supplier" columnCount="3" level="1" style="Slicer Style 7" rowHeight="222250"/>
</slicers>
</file>

<file path=xl/tables/table1.xml><?xml version="1.0" encoding="utf-8"?>
<table xmlns="http://schemas.openxmlformats.org/spreadsheetml/2006/main" id="1" name="Procurement" displayName="Procurement" ref="A1:X261" totalsRowShown="0">
  <autoFilter ref="A1:X261"/>
  <tableColumns count="24">
    <tableColumn id="1" name=" Serial No " dataDxfId="25"/>
    <tableColumn id="2" name=" Hospital        "/>
    <tableColumn id="3" name=" State   "/>
    <tableColumn id="4" name=" Location    "/>
    <tableColumn id="5" name=" Department     "/>
    <tableColumn id="6" name=" Equipment     "/>
    <tableColumn id="7" name=" Quantity "/>
    <tableColumn id="8" name=" Unit Price (USD) " dataCellStyle="Currency"/>
    <tableColumn id="9" name=" Supplier       "/>
    <tableColumn id="10" name=" Supplier Contact "/>
    <tableColumn id="11" name=" Supplier Phone "/>
    <tableColumn id="12" name=" Supplier Email       "/>
    <tableColumn id="13" name=" Supplier Country "/>
    <tableColumn id="14" name=" Date Ordered " dataDxfId="24"/>
    <tableColumn id="15" name=" Date Delivered " dataDxfId="23"/>
    <tableColumn id="21" name="Delivery Days" dataDxfId="22">
      <calculatedColumnFormula>Procurement[[#This Row],[ Date Delivered ]]-Procurement[[#This Row],[ Date Ordered ]]</calculatedColumnFormula>
    </tableColumn>
    <tableColumn id="16" name=" Warranty Period (Months) "/>
    <tableColumn id="17" name=" Maintenance Cost (USD/year) " dataCellStyle="Currency"/>
    <tableColumn id="18" name=" Installation Cost (USD) " dataCellStyle="Currency"/>
    <tableColumn id="22" name="Total Procurement Cost" dataDxfId="21" dataCellStyle="Currency">
      <calculatedColumnFormula>Procurement[[#This Row],[ Quantity ]]*Procurement[[#This Row],[ Unit Price (USD) ]]</calculatedColumnFormula>
    </tableColumn>
    <tableColumn id="23" name="Total Cost" dataDxfId="20" dataCellStyle="Currency">
      <calculatedColumnFormula>Procurement[[#This Row],[Total Procurement Cost]]+Procurement[[#This Row],[ Maintenance Cost (USD/year) ]]+Procurement[[#This Row],[ Installation Cost (USD) ]]</calculatedColumnFormula>
    </tableColumn>
    <tableColumn id="19" name=" Equipment Condition "/>
    <tableColumn id="24" name="Deliver Status" dataDxfId="19">
      <calculatedColumnFormula>IF(Procurement[[#This Row],[Delivery Days]]&gt;0,"Late",IF(Procurement[[#This Row],[Delivery Days]]=0,"On Time","Early"))</calculatedColumnFormula>
    </tableColumn>
    <tableColumn id="25" name="Warranty Category" dataDxfId="18">
      <calculatedColumnFormula>IF(Procurement[[#This Row],[ Warranty Period (Months) ]]&lt;24,"Short",IF(Procurement[[#This Row],[ Warranty Period (Months) ]]&lt;36,"Medium","Long"))</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61"/>
  <sheetViews>
    <sheetView zoomScale="50" zoomScaleNormal="50" workbookViewId="0">
      <selection activeCell="H1" sqref="H1"/>
    </sheetView>
  </sheetViews>
  <sheetFormatPr defaultRowHeight="14.4" x14ac:dyDescent="0.3"/>
  <cols>
    <col min="1" max="1" width="11.21875" style="1" customWidth="1"/>
    <col min="2" max="2" width="28.44140625" bestFit="1" customWidth="1"/>
    <col min="3" max="3" width="12" bestFit="1" customWidth="1"/>
    <col min="4" max="4" width="16.33203125" bestFit="1" customWidth="1"/>
    <col min="5" max="5" width="16.109375" bestFit="1" customWidth="1"/>
    <col min="6" max="6" width="22.109375" bestFit="1" customWidth="1"/>
    <col min="7" max="7" width="11.109375" bestFit="1" customWidth="1"/>
    <col min="8" max="8" width="17.21875" customWidth="1"/>
    <col min="9" max="9" width="16.44140625" bestFit="1" customWidth="1"/>
    <col min="10" max="10" width="17.6640625" customWidth="1"/>
    <col min="11" max="11" width="21.44140625" customWidth="1"/>
    <col min="12" max="12" width="18.88671875" customWidth="1"/>
    <col min="13" max="13" width="17.88671875" customWidth="1"/>
    <col min="14" max="14" width="15" style="4" customWidth="1"/>
    <col min="15" max="15" width="16" style="4" customWidth="1"/>
    <col min="16" max="16" width="16" customWidth="1"/>
    <col min="17" max="17" width="25.88671875" customWidth="1"/>
    <col min="18" max="18" width="28.88671875" customWidth="1"/>
    <col min="19" max="21" width="22.5546875" customWidth="1"/>
    <col min="22" max="24" width="21.6640625" customWidth="1"/>
  </cols>
  <sheetData>
    <row r="1" spans="1:24" x14ac:dyDescent="0.3">
      <c r="A1" s="1" t="s">
        <v>0</v>
      </c>
      <c r="B1" t="s">
        <v>1</v>
      </c>
      <c r="C1" t="s">
        <v>2</v>
      </c>
      <c r="D1" t="s">
        <v>3</v>
      </c>
      <c r="E1" t="s">
        <v>4</v>
      </c>
      <c r="F1" t="s">
        <v>5</v>
      </c>
      <c r="G1" t="s">
        <v>6</v>
      </c>
      <c r="H1" t="s">
        <v>7</v>
      </c>
      <c r="I1" t="s">
        <v>8</v>
      </c>
      <c r="J1" t="s">
        <v>9</v>
      </c>
      <c r="K1" t="s">
        <v>10</v>
      </c>
      <c r="L1" t="s">
        <v>11</v>
      </c>
      <c r="M1" t="s">
        <v>12</v>
      </c>
      <c r="N1" s="4" t="s">
        <v>13</v>
      </c>
      <c r="O1" s="4" t="s">
        <v>14</v>
      </c>
      <c r="P1" t="s">
        <v>598</v>
      </c>
      <c r="Q1" t="s">
        <v>15</v>
      </c>
      <c r="R1" t="s">
        <v>16</v>
      </c>
      <c r="S1" t="s">
        <v>17</v>
      </c>
      <c r="T1" t="s">
        <v>599</v>
      </c>
      <c r="U1" t="s">
        <v>600</v>
      </c>
      <c r="V1" t="s">
        <v>18</v>
      </c>
      <c r="W1" t="s">
        <v>601</v>
      </c>
      <c r="X1" t="s">
        <v>602</v>
      </c>
    </row>
    <row r="2" spans="1:24" x14ac:dyDescent="0.3">
      <c r="A2" s="2">
        <v>1</v>
      </c>
      <c r="B2" t="s">
        <v>19</v>
      </c>
      <c r="C2" t="s">
        <v>20</v>
      </c>
      <c r="D2" t="s">
        <v>21</v>
      </c>
      <c r="E2" t="s">
        <v>22</v>
      </c>
      <c r="F2" t="s">
        <v>23</v>
      </c>
      <c r="G2" s="2">
        <v>2</v>
      </c>
      <c r="H2" s="3">
        <v>5000</v>
      </c>
      <c r="I2" t="s">
        <v>24</v>
      </c>
      <c r="J2" t="s">
        <v>25</v>
      </c>
      <c r="K2" s="2">
        <v>1234567890</v>
      </c>
      <c r="L2" t="s">
        <v>26</v>
      </c>
      <c r="M2" t="s">
        <v>27</v>
      </c>
      <c r="N2" s="4">
        <v>45366</v>
      </c>
      <c r="O2" s="4">
        <v>45392</v>
      </c>
      <c r="P2">
        <f>Procurement[[#This Row],[ Date Delivered ]]-Procurement[[#This Row],[ Date Ordered ]]</f>
        <v>26</v>
      </c>
      <c r="Q2" s="2">
        <v>24</v>
      </c>
      <c r="R2" s="3">
        <v>1000</v>
      </c>
      <c r="S2" s="3">
        <v>500</v>
      </c>
      <c r="T2" s="3">
        <f>Procurement[[#This Row],[ Quantity ]]*Procurement[[#This Row],[ Unit Price (USD) ]]</f>
        <v>10000</v>
      </c>
      <c r="U2" s="3">
        <f>Procurement[[#This Row],[Total Procurement Cost]]+Procurement[[#This Row],[ Maintenance Cost (USD/year) ]]+Procurement[[#This Row],[ Installation Cost (USD) ]]</f>
        <v>11500</v>
      </c>
      <c r="V2" t="s">
        <v>28</v>
      </c>
      <c r="W2" t="str">
        <f>IF(Procurement[[#This Row],[Delivery Days]]&gt;0,"Late",IF(Procurement[[#This Row],[Delivery Days]]=0,"On Time","Early"))</f>
        <v>Late</v>
      </c>
      <c r="X2" t="str">
        <f>IF(Procurement[[#This Row],[ Warranty Period (Months) ]]&lt;24,"Short",IF(Procurement[[#This Row],[ Warranty Period (Months) ]]&lt;36,"Medium","Long"))</f>
        <v>Medium</v>
      </c>
    </row>
    <row r="3" spans="1:24" x14ac:dyDescent="0.3">
      <c r="A3" s="2">
        <v>2</v>
      </c>
      <c r="B3" t="s">
        <v>29</v>
      </c>
      <c r="C3" t="s">
        <v>30</v>
      </c>
      <c r="D3" t="s">
        <v>31</v>
      </c>
      <c r="E3" t="s">
        <v>32</v>
      </c>
      <c r="F3" t="s">
        <v>33</v>
      </c>
      <c r="G3" s="2">
        <v>1</v>
      </c>
      <c r="H3" s="3">
        <v>15000</v>
      </c>
      <c r="I3" t="s">
        <v>34</v>
      </c>
      <c r="J3" t="s">
        <v>35</v>
      </c>
      <c r="K3" s="2">
        <v>9876543210</v>
      </c>
      <c r="L3" t="s">
        <v>36</v>
      </c>
      <c r="M3" t="s">
        <v>37</v>
      </c>
      <c r="N3" s="4">
        <v>45342</v>
      </c>
      <c r="O3" s="4">
        <v>45369</v>
      </c>
      <c r="P3">
        <f>Procurement[[#This Row],[ Date Delivered ]]-Procurement[[#This Row],[ Date Ordered ]]</f>
        <v>27</v>
      </c>
      <c r="Q3" s="2">
        <v>36</v>
      </c>
      <c r="R3" s="3">
        <v>2000</v>
      </c>
      <c r="S3" s="3">
        <v>1000</v>
      </c>
      <c r="T3" s="3">
        <f>Procurement[[#This Row],[ Quantity ]]*Procurement[[#This Row],[ Unit Price (USD) ]]</f>
        <v>15000</v>
      </c>
      <c r="U3" s="3">
        <f>Procurement[[#This Row],[Total Procurement Cost]]+Procurement[[#This Row],[ Maintenance Cost (USD/year) ]]+Procurement[[#This Row],[ Installation Cost (USD) ]]</f>
        <v>18000</v>
      </c>
      <c r="V3" t="s">
        <v>28</v>
      </c>
      <c r="W3" t="str">
        <f>IF(Procurement[[#This Row],[Delivery Days]]&gt;0,"Late",IF(Procurement[[#This Row],[Delivery Days]]=0,"On Time","Early"))</f>
        <v>Late</v>
      </c>
      <c r="X3" t="str">
        <f>IF(Procurement[[#This Row],[ Warranty Period (Months) ]]&lt;24,"Short",IF(Procurement[[#This Row],[ Warranty Period (Months) ]]&lt;36,"Medium","Long"))</f>
        <v>Long</v>
      </c>
    </row>
    <row r="4" spans="1:24" x14ac:dyDescent="0.3">
      <c r="A4" s="2">
        <v>3</v>
      </c>
      <c r="B4" t="s">
        <v>38</v>
      </c>
      <c r="C4" t="s">
        <v>39</v>
      </c>
      <c r="D4" t="s">
        <v>40</v>
      </c>
      <c r="E4" t="s">
        <v>41</v>
      </c>
      <c r="F4" t="s">
        <v>42</v>
      </c>
      <c r="G4" s="2">
        <v>5</v>
      </c>
      <c r="H4" s="3">
        <v>300</v>
      </c>
      <c r="I4" t="s">
        <v>43</v>
      </c>
      <c r="J4" t="s">
        <v>44</v>
      </c>
      <c r="K4" s="2">
        <v>2345678901</v>
      </c>
      <c r="L4" t="s">
        <v>45</v>
      </c>
      <c r="M4" t="s">
        <v>46</v>
      </c>
      <c r="N4" s="4">
        <v>45301</v>
      </c>
      <c r="O4" s="4">
        <v>45327</v>
      </c>
      <c r="P4">
        <f>Procurement[[#This Row],[ Date Delivered ]]-Procurement[[#This Row],[ Date Ordered ]]</f>
        <v>26</v>
      </c>
      <c r="Q4" s="2">
        <v>12</v>
      </c>
      <c r="R4" s="3">
        <v>500</v>
      </c>
      <c r="S4" s="3">
        <v>200</v>
      </c>
      <c r="T4" s="3">
        <f>Procurement[[#This Row],[ Quantity ]]*Procurement[[#This Row],[ Unit Price (USD) ]]</f>
        <v>1500</v>
      </c>
      <c r="U4" s="3">
        <f>Procurement[[#This Row],[Total Procurement Cost]]+Procurement[[#This Row],[ Maintenance Cost (USD/year) ]]+Procurement[[#This Row],[ Installation Cost (USD) ]]</f>
        <v>2200</v>
      </c>
      <c r="V4" t="s">
        <v>47</v>
      </c>
      <c r="W4" t="str">
        <f>IF(Procurement[[#This Row],[Delivery Days]]&gt;0,"Late",IF(Procurement[[#This Row],[Delivery Days]]=0,"On Time","Early"))</f>
        <v>Late</v>
      </c>
      <c r="X4" t="str">
        <f>IF(Procurement[[#This Row],[ Warranty Period (Months) ]]&lt;24,"Short",IF(Procurement[[#This Row],[ Warranty Period (Months) ]]&lt;36,"Medium","Long"))</f>
        <v>Short</v>
      </c>
    </row>
    <row r="5" spans="1:24" x14ac:dyDescent="0.3">
      <c r="A5" s="2">
        <v>4</v>
      </c>
      <c r="B5" t="s">
        <v>48</v>
      </c>
      <c r="C5" t="s">
        <v>49</v>
      </c>
      <c r="D5" t="s">
        <v>50</v>
      </c>
      <c r="E5" t="s">
        <v>51</v>
      </c>
      <c r="F5" t="s">
        <v>52</v>
      </c>
      <c r="G5" s="2">
        <v>3</v>
      </c>
      <c r="H5" s="3">
        <v>10000</v>
      </c>
      <c r="I5" t="s">
        <v>53</v>
      </c>
      <c r="J5" t="s">
        <v>54</v>
      </c>
      <c r="K5" s="2">
        <v>3456789012</v>
      </c>
      <c r="L5" t="s">
        <v>55</v>
      </c>
      <c r="M5" t="s">
        <v>56</v>
      </c>
      <c r="N5" s="4">
        <v>45384</v>
      </c>
      <c r="O5" s="4">
        <v>45407</v>
      </c>
      <c r="P5">
        <f>Procurement[[#This Row],[ Date Delivered ]]-Procurement[[#This Row],[ Date Ordered ]]</f>
        <v>23</v>
      </c>
      <c r="Q5" s="2">
        <v>24</v>
      </c>
      <c r="R5" s="3">
        <v>1500</v>
      </c>
      <c r="S5" s="3">
        <v>800</v>
      </c>
      <c r="T5" s="3">
        <f>Procurement[[#This Row],[ Quantity ]]*Procurement[[#This Row],[ Unit Price (USD) ]]</f>
        <v>30000</v>
      </c>
      <c r="U5" s="3">
        <f>Procurement[[#This Row],[Total Procurement Cost]]+Procurement[[#This Row],[ Maintenance Cost (USD/year) ]]+Procurement[[#This Row],[ Installation Cost (USD) ]]</f>
        <v>32300</v>
      </c>
      <c r="V5" t="s">
        <v>57</v>
      </c>
      <c r="W5" t="str">
        <f>IF(Procurement[[#This Row],[Delivery Days]]&gt;0,"Late",IF(Procurement[[#This Row],[Delivery Days]]=0,"On Time","Early"))</f>
        <v>Late</v>
      </c>
      <c r="X5" t="str">
        <f>IF(Procurement[[#This Row],[ Warranty Period (Months) ]]&lt;24,"Short",IF(Procurement[[#This Row],[ Warranty Period (Months) ]]&lt;36,"Medium","Long"))</f>
        <v>Medium</v>
      </c>
    </row>
    <row r="6" spans="1:24" x14ac:dyDescent="0.3">
      <c r="A6" s="2">
        <v>5</v>
      </c>
      <c r="B6" t="s">
        <v>58</v>
      </c>
      <c r="C6" t="s">
        <v>59</v>
      </c>
      <c r="D6" t="s">
        <v>60</v>
      </c>
      <c r="E6" t="s">
        <v>61</v>
      </c>
      <c r="F6" t="s">
        <v>62</v>
      </c>
      <c r="G6" s="2">
        <v>1</v>
      </c>
      <c r="H6" s="3">
        <v>8000</v>
      </c>
      <c r="I6" t="s">
        <v>63</v>
      </c>
      <c r="J6" t="s">
        <v>64</v>
      </c>
      <c r="K6" s="2">
        <v>4567890123</v>
      </c>
      <c r="L6" t="s">
        <v>65</v>
      </c>
      <c r="M6" t="s">
        <v>66</v>
      </c>
      <c r="N6" s="4">
        <v>45356</v>
      </c>
      <c r="O6" s="4">
        <v>45379</v>
      </c>
      <c r="P6">
        <f>Procurement[[#This Row],[ Date Delivered ]]-Procurement[[#This Row],[ Date Ordered ]]</f>
        <v>23</v>
      </c>
      <c r="Q6" s="2">
        <v>24</v>
      </c>
      <c r="R6" s="3">
        <v>1200</v>
      </c>
      <c r="S6" s="3">
        <v>600</v>
      </c>
      <c r="T6" s="3">
        <f>Procurement[[#This Row],[ Quantity ]]*Procurement[[#This Row],[ Unit Price (USD) ]]</f>
        <v>8000</v>
      </c>
      <c r="U6" s="3">
        <f>Procurement[[#This Row],[Total Procurement Cost]]+Procurement[[#This Row],[ Maintenance Cost (USD/year) ]]+Procurement[[#This Row],[ Installation Cost (USD) ]]</f>
        <v>9800</v>
      </c>
      <c r="V6" t="s">
        <v>28</v>
      </c>
      <c r="W6" t="str">
        <f>IF(Procurement[[#This Row],[Delivery Days]]&gt;0,"Late",IF(Procurement[[#This Row],[Delivery Days]]=0,"On Time","Early"))</f>
        <v>Late</v>
      </c>
      <c r="X6" t="str">
        <f>IF(Procurement[[#This Row],[ Warranty Period (Months) ]]&lt;24,"Short",IF(Procurement[[#This Row],[ Warranty Period (Months) ]]&lt;36,"Medium","Long"))</f>
        <v>Medium</v>
      </c>
    </row>
    <row r="7" spans="1:24" x14ac:dyDescent="0.3">
      <c r="A7" s="2">
        <v>6</v>
      </c>
      <c r="B7" t="s">
        <v>67</v>
      </c>
      <c r="C7" t="s">
        <v>68</v>
      </c>
      <c r="D7" t="s">
        <v>69</v>
      </c>
      <c r="E7" t="s">
        <v>70</v>
      </c>
      <c r="F7" t="s">
        <v>71</v>
      </c>
      <c r="G7" s="2">
        <v>1</v>
      </c>
      <c r="H7" s="3">
        <v>200000</v>
      </c>
      <c r="I7" t="s">
        <v>72</v>
      </c>
      <c r="J7" t="s">
        <v>73</v>
      </c>
      <c r="K7" s="2">
        <v>1122334455</v>
      </c>
      <c r="L7" t="s">
        <v>74</v>
      </c>
      <c r="M7" t="s">
        <v>75</v>
      </c>
      <c r="N7" s="4">
        <v>45392</v>
      </c>
      <c r="O7" s="4">
        <v>45417</v>
      </c>
      <c r="P7">
        <f>Procurement[[#This Row],[ Date Delivered ]]-Procurement[[#This Row],[ Date Ordered ]]</f>
        <v>25</v>
      </c>
      <c r="Q7" s="2">
        <v>48</v>
      </c>
      <c r="R7" s="3">
        <v>5000</v>
      </c>
      <c r="S7" s="3">
        <v>2000</v>
      </c>
      <c r="T7" s="3">
        <f>Procurement[[#This Row],[ Quantity ]]*Procurement[[#This Row],[ Unit Price (USD) ]]</f>
        <v>200000</v>
      </c>
      <c r="U7" s="3">
        <f>Procurement[[#This Row],[Total Procurement Cost]]+Procurement[[#This Row],[ Maintenance Cost (USD/year) ]]+Procurement[[#This Row],[ Installation Cost (USD) ]]</f>
        <v>207000</v>
      </c>
      <c r="V7" t="s">
        <v>28</v>
      </c>
      <c r="W7" t="str">
        <f>IF(Procurement[[#This Row],[Delivery Days]]&gt;0,"Late",IF(Procurement[[#This Row],[Delivery Days]]=0,"On Time","Early"))</f>
        <v>Late</v>
      </c>
      <c r="X7" t="str">
        <f>IF(Procurement[[#This Row],[ Warranty Period (Months) ]]&lt;24,"Short",IF(Procurement[[#This Row],[ Warranty Period (Months) ]]&lt;36,"Medium","Long"))</f>
        <v>Long</v>
      </c>
    </row>
    <row r="8" spans="1:24" x14ac:dyDescent="0.3">
      <c r="A8" s="2">
        <v>7</v>
      </c>
      <c r="B8" t="s">
        <v>76</v>
      </c>
      <c r="C8" t="s">
        <v>77</v>
      </c>
      <c r="D8" t="s">
        <v>78</v>
      </c>
      <c r="E8" t="s">
        <v>79</v>
      </c>
      <c r="F8" t="s">
        <v>80</v>
      </c>
      <c r="G8" s="2">
        <v>2</v>
      </c>
      <c r="H8" s="3">
        <v>10000</v>
      </c>
      <c r="I8" t="s">
        <v>81</v>
      </c>
      <c r="J8" t="s">
        <v>82</v>
      </c>
      <c r="K8" s="2">
        <v>9988776655</v>
      </c>
      <c r="L8" t="s">
        <v>83</v>
      </c>
      <c r="M8" t="s">
        <v>84</v>
      </c>
      <c r="N8" s="4">
        <v>45350</v>
      </c>
      <c r="O8" s="4">
        <v>45376</v>
      </c>
      <c r="P8">
        <f>Procurement[[#This Row],[ Date Delivered ]]-Procurement[[#This Row],[ Date Ordered ]]</f>
        <v>26</v>
      </c>
      <c r="Q8" s="2">
        <v>36</v>
      </c>
      <c r="R8" s="3">
        <v>1500</v>
      </c>
      <c r="S8" s="3">
        <v>1000</v>
      </c>
      <c r="T8" s="3">
        <f>Procurement[[#This Row],[ Quantity ]]*Procurement[[#This Row],[ Unit Price (USD) ]]</f>
        <v>20000</v>
      </c>
      <c r="U8" s="3">
        <f>Procurement[[#This Row],[Total Procurement Cost]]+Procurement[[#This Row],[ Maintenance Cost (USD/year) ]]+Procurement[[#This Row],[ Installation Cost (USD) ]]</f>
        <v>22500</v>
      </c>
      <c r="V8" t="s">
        <v>57</v>
      </c>
      <c r="W8" t="str">
        <f>IF(Procurement[[#This Row],[Delivery Days]]&gt;0,"Late",IF(Procurement[[#This Row],[Delivery Days]]=0,"On Time","Early"))</f>
        <v>Late</v>
      </c>
      <c r="X8" t="str">
        <f>IF(Procurement[[#This Row],[ Warranty Period (Months) ]]&lt;24,"Short",IF(Procurement[[#This Row],[ Warranty Period (Months) ]]&lt;36,"Medium","Long"))</f>
        <v>Long</v>
      </c>
    </row>
    <row r="9" spans="1:24" x14ac:dyDescent="0.3">
      <c r="A9" s="2">
        <v>8</v>
      </c>
      <c r="B9" t="s">
        <v>85</v>
      </c>
      <c r="C9" t="s">
        <v>86</v>
      </c>
      <c r="D9" t="s">
        <v>87</v>
      </c>
      <c r="E9" t="s">
        <v>88</v>
      </c>
      <c r="F9" t="s">
        <v>89</v>
      </c>
      <c r="G9" s="2">
        <v>1</v>
      </c>
      <c r="H9" s="3">
        <v>25000</v>
      </c>
      <c r="I9" t="s">
        <v>90</v>
      </c>
      <c r="J9" t="s">
        <v>91</v>
      </c>
      <c r="K9" s="2">
        <v>3322114455</v>
      </c>
      <c r="L9" t="s">
        <v>92</v>
      </c>
      <c r="M9" t="s">
        <v>93</v>
      </c>
      <c r="N9" s="4">
        <v>45371</v>
      </c>
      <c r="O9" s="4">
        <v>45397</v>
      </c>
      <c r="P9">
        <f>Procurement[[#This Row],[ Date Delivered ]]-Procurement[[#This Row],[ Date Ordered ]]</f>
        <v>26</v>
      </c>
      <c r="Q9" s="2">
        <v>36</v>
      </c>
      <c r="R9" s="3">
        <v>2000</v>
      </c>
      <c r="S9" s="3">
        <v>1200</v>
      </c>
      <c r="T9" s="3">
        <f>Procurement[[#This Row],[ Quantity ]]*Procurement[[#This Row],[ Unit Price (USD) ]]</f>
        <v>25000</v>
      </c>
      <c r="U9" s="3">
        <f>Procurement[[#This Row],[Total Procurement Cost]]+Procurement[[#This Row],[ Maintenance Cost (USD/year) ]]+Procurement[[#This Row],[ Installation Cost (USD) ]]</f>
        <v>28200</v>
      </c>
      <c r="V9" t="s">
        <v>28</v>
      </c>
      <c r="W9" t="str">
        <f>IF(Procurement[[#This Row],[Delivery Days]]&gt;0,"Late",IF(Procurement[[#This Row],[Delivery Days]]=0,"On Time","Early"))</f>
        <v>Late</v>
      </c>
      <c r="X9" t="str">
        <f>IF(Procurement[[#This Row],[ Warranty Period (Months) ]]&lt;24,"Short",IF(Procurement[[#This Row],[ Warranty Period (Months) ]]&lt;36,"Medium","Long"))</f>
        <v>Long</v>
      </c>
    </row>
    <row r="10" spans="1:24" x14ac:dyDescent="0.3">
      <c r="A10" s="2">
        <v>9</v>
      </c>
      <c r="B10" t="s">
        <v>94</v>
      </c>
      <c r="C10" t="s">
        <v>95</v>
      </c>
      <c r="D10" t="s">
        <v>96</v>
      </c>
      <c r="E10" t="s">
        <v>97</v>
      </c>
      <c r="F10" t="s">
        <v>98</v>
      </c>
      <c r="G10" s="2">
        <v>1</v>
      </c>
      <c r="H10" s="3">
        <v>75000</v>
      </c>
      <c r="I10" t="s">
        <v>99</v>
      </c>
      <c r="J10" t="s">
        <v>100</v>
      </c>
      <c r="K10" s="2">
        <v>7755332211</v>
      </c>
      <c r="L10" t="s">
        <v>101</v>
      </c>
      <c r="M10" t="s">
        <v>102</v>
      </c>
      <c r="N10" s="4">
        <v>45316</v>
      </c>
      <c r="O10" s="4">
        <v>45342</v>
      </c>
      <c r="P10">
        <f>Procurement[[#This Row],[ Date Delivered ]]-Procurement[[#This Row],[ Date Ordered ]]</f>
        <v>26</v>
      </c>
      <c r="Q10" s="2">
        <v>48</v>
      </c>
      <c r="R10" s="3">
        <v>3000</v>
      </c>
      <c r="S10" s="3">
        <v>1500</v>
      </c>
      <c r="T10" s="3">
        <f>Procurement[[#This Row],[ Quantity ]]*Procurement[[#This Row],[ Unit Price (USD) ]]</f>
        <v>75000</v>
      </c>
      <c r="U10" s="3">
        <f>Procurement[[#This Row],[Total Procurement Cost]]+Procurement[[#This Row],[ Maintenance Cost (USD/year) ]]+Procurement[[#This Row],[ Installation Cost (USD) ]]</f>
        <v>79500</v>
      </c>
      <c r="V10" t="s">
        <v>28</v>
      </c>
      <c r="W10" t="str">
        <f>IF(Procurement[[#This Row],[Delivery Days]]&gt;0,"Late",IF(Procurement[[#This Row],[Delivery Days]]=0,"On Time","Early"))</f>
        <v>Late</v>
      </c>
      <c r="X10" t="str">
        <f>IF(Procurement[[#This Row],[ Warranty Period (Months) ]]&lt;24,"Short",IF(Procurement[[#This Row],[ Warranty Period (Months) ]]&lt;36,"Medium","Long"))</f>
        <v>Long</v>
      </c>
    </row>
    <row r="11" spans="1:24" x14ac:dyDescent="0.3">
      <c r="A11" s="2">
        <v>10</v>
      </c>
      <c r="B11" t="s">
        <v>103</v>
      </c>
      <c r="C11" t="s">
        <v>104</v>
      </c>
      <c r="D11" t="s">
        <v>105</v>
      </c>
      <c r="E11" t="s">
        <v>106</v>
      </c>
      <c r="F11" t="s">
        <v>107</v>
      </c>
      <c r="G11" s="2">
        <v>2</v>
      </c>
      <c r="H11" s="3">
        <v>30000</v>
      </c>
      <c r="I11" t="s">
        <v>108</v>
      </c>
      <c r="J11" t="s">
        <v>109</v>
      </c>
      <c r="K11" s="2">
        <v>6677889900</v>
      </c>
      <c r="L11" t="s">
        <v>110</v>
      </c>
      <c r="M11" t="s">
        <v>27</v>
      </c>
      <c r="N11" s="4">
        <v>45387</v>
      </c>
      <c r="O11" s="4">
        <v>45412</v>
      </c>
      <c r="P11">
        <f>Procurement[[#This Row],[ Date Delivered ]]-Procurement[[#This Row],[ Date Ordered ]]</f>
        <v>25</v>
      </c>
      <c r="Q11" s="2">
        <v>24</v>
      </c>
      <c r="R11" s="3">
        <v>1000</v>
      </c>
      <c r="S11" s="3">
        <v>800</v>
      </c>
      <c r="T11" s="3">
        <f>Procurement[[#This Row],[ Quantity ]]*Procurement[[#This Row],[ Unit Price (USD) ]]</f>
        <v>60000</v>
      </c>
      <c r="U11" s="3">
        <f>Procurement[[#This Row],[Total Procurement Cost]]+Procurement[[#This Row],[ Maintenance Cost (USD/year) ]]+Procurement[[#This Row],[ Installation Cost (USD) ]]</f>
        <v>61800</v>
      </c>
      <c r="V11" t="s">
        <v>28</v>
      </c>
      <c r="W11" t="str">
        <f>IF(Procurement[[#This Row],[Delivery Days]]&gt;0,"Late",IF(Procurement[[#This Row],[Delivery Days]]=0,"On Time","Early"))</f>
        <v>Late</v>
      </c>
      <c r="X11" t="str">
        <f>IF(Procurement[[#This Row],[ Warranty Period (Months) ]]&lt;24,"Short",IF(Procurement[[#This Row],[ Warranty Period (Months) ]]&lt;36,"Medium","Long"))</f>
        <v>Medium</v>
      </c>
    </row>
    <row r="12" spans="1:24" x14ac:dyDescent="0.3">
      <c r="A12" s="2">
        <v>11</v>
      </c>
      <c r="B12" t="s">
        <v>111</v>
      </c>
      <c r="C12" t="s">
        <v>112</v>
      </c>
      <c r="D12" t="s">
        <v>113</v>
      </c>
      <c r="E12" t="s">
        <v>114</v>
      </c>
      <c r="F12" t="s">
        <v>115</v>
      </c>
      <c r="G12" s="2">
        <v>3</v>
      </c>
      <c r="H12" s="3">
        <v>5000</v>
      </c>
      <c r="I12" t="s">
        <v>116</v>
      </c>
      <c r="J12" t="s">
        <v>117</v>
      </c>
      <c r="K12" s="2">
        <v>1122334455</v>
      </c>
      <c r="L12" t="s">
        <v>118</v>
      </c>
      <c r="M12" t="s">
        <v>27</v>
      </c>
      <c r="N12" s="4">
        <v>45366</v>
      </c>
      <c r="O12" s="4">
        <v>45392</v>
      </c>
      <c r="P12">
        <f>Procurement[[#This Row],[ Date Delivered ]]-Procurement[[#This Row],[ Date Ordered ]]</f>
        <v>26</v>
      </c>
      <c r="Q12" s="2">
        <v>24</v>
      </c>
      <c r="R12" s="3">
        <v>1000</v>
      </c>
      <c r="S12" s="3">
        <v>500</v>
      </c>
      <c r="T12" s="3">
        <f>Procurement[[#This Row],[ Quantity ]]*Procurement[[#This Row],[ Unit Price (USD) ]]</f>
        <v>15000</v>
      </c>
      <c r="U12" s="3">
        <f>Procurement[[#This Row],[Total Procurement Cost]]+Procurement[[#This Row],[ Maintenance Cost (USD/year) ]]+Procurement[[#This Row],[ Installation Cost (USD) ]]</f>
        <v>16500</v>
      </c>
      <c r="V12" t="s">
        <v>28</v>
      </c>
      <c r="W12" t="str">
        <f>IF(Procurement[[#This Row],[Delivery Days]]&gt;0,"Late",IF(Procurement[[#This Row],[Delivery Days]]=0,"On Time","Early"))</f>
        <v>Late</v>
      </c>
      <c r="X12" t="str">
        <f>IF(Procurement[[#This Row],[ Warranty Period (Months) ]]&lt;24,"Short",IF(Procurement[[#This Row],[ Warranty Period (Months) ]]&lt;36,"Medium","Long"))</f>
        <v>Medium</v>
      </c>
    </row>
    <row r="13" spans="1:24" x14ac:dyDescent="0.3">
      <c r="A13" s="2">
        <v>12</v>
      </c>
      <c r="B13" t="s">
        <v>119</v>
      </c>
      <c r="C13" t="s">
        <v>120</v>
      </c>
      <c r="D13" t="s">
        <v>121</v>
      </c>
      <c r="E13" t="s">
        <v>122</v>
      </c>
      <c r="F13" t="s">
        <v>123</v>
      </c>
      <c r="G13" s="2">
        <v>1</v>
      </c>
      <c r="H13" s="3">
        <v>8000</v>
      </c>
      <c r="I13" t="s">
        <v>124</v>
      </c>
      <c r="J13" t="s">
        <v>125</v>
      </c>
      <c r="K13" s="2">
        <v>9988776655</v>
      </c>
      <c r="L13" t="s">
        <v>126</v>
      </c>
      <c r="M13" t="s">
        <v>127</v>
      </c>
      <c r="N13" s="4">
        <v>45342</v>
      </c>
      <c r="O13" s="4">
        <v>45369</v>
      </c>
      <c r="P13">
        <f>Procurement[[#This Row],[ Date Delivered ]]-Procurement[[#This Row],[ Date Ordered ]]</f>
        <v>27</v>
      </c>
      <c r="Q13" s="2">
        <v>36</v>
      </c>
      <c r="R13" s="3">
        <v>1200</v>
      </c>
      <c r="S13" s="3">
        <v>700</v>
      </c>
      <c r="T13" s="3">
        <f>Procurement[[#This Row],[ Quantity ]]*Procurement[[#This Row],[ Unit Price (USD) ]]</f>
        <v>8000</v>
      </c>
      <c r="U13" s="3">
        <f>Procurement[[#This Row],[Total Procurement Cost]]+Procurement[[#This Row],[ Maintenance Cost (USD/year) ]]+Procurement[[#This Row],[ Installation Cost (USD) ]]</f>
        <v>9900</v>
      </c>
      <c r="V13" t="s">
        <v>57</v>
      </c>
      <c r="W13" t="str">
        <f>IF(Procurement[[#This Row],[Delivery Days]]&gt;0,"Late",IF(Procurement[[#This Row],[Delivery Days]]=0,"On Time","Early"))</f>
        <v>Late</v>
      </c>
      <c r="X13" t="str">
        <f>IF(Procurement[[#This Row],[ Warranty Period (Months) ]]&lt;24,"Short",IF(Procurement[[#This Row],[ Warranty Period (Months) ]]&lt;36,"Medium","Long"))</f>
        <v>Long</v>
      </c>
    </row>
    <row r="14" spans="1:24" x14ac:dyDescent="0.3">
      <c r="A14" s="2">
        <v>13</v>
      </c>
      <c r="B14" t="s">
        <v>128</v>
      </c>
      <c r="C14" t="s">
        <v>129</v>
      </c>
      <c r="D14" t="s">
        <v>130</v>
      </c>
      <c r="E14" t="s">
        <v>131</v>
      </c>
      <c r="F14" t="s">
        <v>132</v>
      </c>
      <c r="G14" s="2">
        <v>2</v>
      </c>
      <c r="H14" s="3">
        <v>20000</v>
      </c>
      <c r="I14" t="s">
        <v>133</v>
      </c>
      <c r="J14" t="s">
        <v>134</v>
      </c>
      <c r="K14" s="2">
        <v>3322114455</v>
      </c>
      <c r="L14" t="s">
        <v>135</v>
      </c>
      <c r="M14" t="s">
        <v>136</v>
      </c>
      <c r="N14" s="4">
        <v>45301</v>
      </c>
      <c r="O14" s="4">
        <v>45327</v>
      </c>
      <c r="P14">
        <f>Procurement[[#This Row],[ Date Delivered ]]-Procurement[[#This Row],[ Date Ordered ]]</f>
        <v>26</v>
      </c>
      <c r="Q14" s="2">
        <v>48</v>
      </c>
      <c r="R14" s="3">
        <v>2500</v>
      </c>
      <c r="S14" s="3">
        <v>1500</v>
      </c>
      <c r="T14" s="3">
        <f>Procurement[[#This Row],[ Quantity ]]*Procurement[[#This Row],[ Unit Price (USD) ]]</f>
        <v>40000</v>
      </c>
      <c r="U14" s="3">
        <f>Procurement[[#This Row],[Total Procurement Cost]]+Procurement[[#This Row],[ Maintenance Cost (USD/year) ]]+Procurement[[#This Row],[ Installation Cost (USD) ]]</f>
        <v>44000</v>
      </c>
      <c r="V14" t="s">
        <v>28</v>
      </c>
      <c r="W14" t="str">
        <f>IF(Procurement[[#This Row],[Delivery Days]]&gt;0,"Late",IF(Procurement[[#This Row],[Delivery Days]]=0,"On Time","Early"))</f>
        <v>Late</v>
      </c>
      <c r="X14" t="str">
        <f>IF(Procurement[[#This Row],[ Warranty Period (Months) ]]&lt;24,"Short",IF(Procurement[[#This Row],[ Warranty Period (Months) ]]&lt;36,"Medium","Long"))</f>
        <v>Long</v>
      </c>
    </row>
    <row r="15" spans="1:24" x14ac:dyDescent="0.3">
      <c r="A15" s="2">
        <v>14</v>
      </c>
      <c r="B15" t="s">
        <v>137</v>
      </c>
      <c r="C15" t="s">
        <v>138</v>
      </c>
      <c r="D15" t="s">
        <v>139</v>
      </c>
      <c r="E15" t="s">
        <v>140</v>
      </c>
      <c r="F15" t="s">
        <v>141</v>
      </c>
      <c r="G15" s="2">
        <v>1</v>
      </c>
      <c r="H15" s="3">
        <v>12000</v>
      </c>
      <c r="I15" t="s">
        <v>142</v>
      </c>
      <c r="J15" t="s">
        <v>143</v>
      </c>
      <c r="K15" s="2">
        <v>7755332211</v>
      </c>
      <c r="L15" t="s">
        <v>144</v>
      </c>
      <c r="M15" t="s">
        <v>145</v>
      </c>
      <c r="N15" s="4">
        <v>45384</v>
      </c>
      <c r="O15" s="4">
        <v>45407</v>
      </c>
      <c r="P15">
        <f>Procurement[[#This Row],[ Date Delivered ]]-Procurement[[#This Row],[ Date Ordered ]]</f>
        <v>23</v>
      </c>
      <c r="Q15" s="2">
        <v>36</v>
      </c>
      <c r="R15" s="3">
        <v>1500</v>
      </c>
      <c r="S15" s="3">
        <v>900</v>
      </c>
      <c r="T15" s="3">
        <f>Procurement[[#This Row],[ Quantity ]]*Procurement[[#This Row],[ Unit Price (USD) ]]</f>
        <v>12000</v>
      </c>
      <c r="U15" s="3">
        <f>Procurement[[#This Row],[Total Procurement Cost]]+Procurement[[#This Row],[ Maintenance Cost (USD/year) ]]+Procurement[[#This Row],[ Installation Cost (USD) ]]</f>
        <v>14400</v>
      </c>
      <c r="V15" t="s">
        <v>28</v>
      </c>
      <c r="W15" t="str">
        <f>IF(Procurement[[#This Row],[Delivery Days]]&gt;0,"Late",IF(Procurement[[#This Row],[Delivery Days]]=0,"On Time","Early"))</f>
        <v>Late</v>
      </c>
      <c r="X15" t="str">
        <f>IF(Procurement[[#This Row],[ Warranty Period (Months) ]]&lt;24,"Short",IF(Procurement[[#This Row],[ Warranty Period (Months) ]]&lt;36,"Medium","Long"))</f>
        <v>Long</v>
      </c>
    </row>
    <row r="16" spans="1:24" x14ac:dyDescent="0.3">
      <c r="A16" s="2">
        <v>15</v>
      </c>
      <c r="B16" t="s">
        <v>146</v>
      </c>
      <c r="C16" t="s">
        <v>147</v>
      </c>
      <c r="D16" t="s">
        <v>148</v>
      </c>
      <c r="E16" t="s">
        <v>149</v>
      </c>
      <c r="F16" t="s">
        <v>150</v>
      </c>
      <c r="G16" s="2">
        <v>1</v>
      </c>
      <c r="H16" s="3">
        <v>35000</v>
      </c>
      <c r="I16" t="s">
        <v>151</v>
      </c>
      <c r="J16" t="s">
        <v>152</v>
      </c>
      <c r="K16" s="2">
        <v>6677889900</v>
      </c>
      <c r="L16" t="s">
        <v>153</v>
      </c>
      <c r="M16" t="s">
        <v>154</v>
      </c>
      <c r="N16" s="4">
        <v>45356</v>
      </c>
      <c r="O16" s="4">
        <v>45379</v>
      </c>
      <c r="P16">
        <f>Procurement[[#This Row],[ Date Delivered ]]-Procurement[[#This Row],[ Date Ordered ]]</f>
        <v>23</v>
      </c>
      <c r="Q16" s="2">
        <v>48</v>
      </c>
      <c r="R16" s="3">
        <v>3000</v>
      </c>
      <c r="S16" s="3">
        <v>1800</v>
      </c>
      <c r="T16" s="3">
        <f>Procurement[[#This Row],[ Quantity ]]*Procurement[[#This Row],[ Unit Price (USD) ]]</f>
        <v>35000</v>
      </c>
      <c r="U16" s="3">
        <f>Procurement[[#This Row],[Total Procurement Cost]]+Procurement[[#This Row],[ Maintenance Cost (USD/year) ]]+Procurement[[#This Row],[ Installation Cost (USD) ]]</f>
        <v>39800</v>
      </c>
      <c r="V16" t="s">
        <v>57</v>
      </c>
      <c r="W16" t="str">
        <f>IF(Procurement[[#This Row],[Delivery Days]]&gt;0,"Late",IF(Procurement[[#This Row],[Delivery Days]]=0,"On Time","Early"))</f>
        <v>Late</v>
      </c>
      <c r="X16" t="str">
        <f>IF(Procurement[[#This Row],[ Warranty Period (Months) ]]&lt;24,"Short",IF(Procurement[[#This Row],[ Warranty Period (Months) ]]&lt;36,"Medium","Long"))</f>
        <v>Long</v>
      </c>
    </row>
    <row r="17" spans="1:24" x14ac:dyDescent="0.3">
      <c r="A17" s="2">
        <v>16</v>
      </c>
      <c r="B17" t="s">
        <v>155</v>
      </c>
      <c r="C17" t="s">
        <v>156</v>
      </c>
      <c r="D17" t="s">
        <v>157</v>
      </c>
      <c r="E17" t="s">
        <v>158</v>
      </c>
      <c r="F17" t="s">
        <v>159</v>
      </c>
      <c r="G17" s="2">
        <v>1</v>
      </c>
      <c r="H17" s="3">
        <v>10000</v>
      </c>
      <c r="I17" t="s">
        <v>160</v>
      </c>
      <c r="J17" t="s">
        <v>161</v>
      </c>
      <c r="K17" s="2">
        <v>1122334455</v>
      </c>
      <c r="L17" t="s">
        <v>162</v>
      </c>
      <c r="M17" t="s">
        <v>84</v>
      </c>
      <c r="N17" s="4">
        <v>45350</v>
      </c>
      <c r="O17" s="4">
        <v>45376</v>
      </c>
      <c r="P17">
        <f>Procurement[[#This Row],[ Date Delivered ]]-Procurement[[#This Row],[ Date Ordered ]]</f>
        <v>26</v>
      </c>
      <c r="Q17" s="2">
        <v>36</v>
      </c>
      <c r="R17" s="3">
        <v>1500</v>
      </c>
      <c r="S17" s="3">
        <v>1000</v>
      </c>
      <c r="T17" s="3">
        <f>Procurement[[#This Row],[ Quantity ]]*Procurement[[#This Row],[ Unit Price (USD) ]]</f>
        <v>10000</v>
      </c>
      <c r="U17" s="3">
        <f>Procurement[[#This Row],[Total Procurement Cost]]+Procurement[[#This Row],[ Maintenance Cost (USD/year) ]]+Procurement[[#This Row],[ Installation Cost (USD) ]]</f>
        <v>12500</v>
      </c>
      <c r="V17" t="s">
        <v>57</v>
      </c>
      <c r="W17" t="str">
        <f>IF(Procurement[[#This Row],[Delivery Days]]&gt;0,"Late",IF(Procurement[[#This Row],[Delivery Days]]=0,"On Time","Early"))</f>
        <v>Late</v>
      </c>
      <c r="X17" t="str">
        <f>IF(Procurement[[#This Row],[ Warranty Period (Months) ]]&lt;24,"Short",IF(Procurement[[#This Row],[ Warranty Period (Months) ]]&lt;36,"Medium","Long"))</f>
        <v>Long</v>
      </c>
    </row>
    <row r="18" spans="1:24" x14ac:dyDescent="0.3">
      <c r="A18" s="2">
        <v>17</v>
      </c>
      <c r="B18" t="s">
        <v>163</v>
      </c>
      <c r="C18" t="s">
        <v>164</v>
      </c>
      <c r="D18" t="s">
        <v>165</v>
      </c>
      <c r="E18" t="s">
        <v>166</v>
      </c>
      <c r="F18" t="s">
        <v>167</v>
      </c>
      <c r="G18" s="2">
        <v>2</v>
      </c>
      <c r="H18" s="3">
        <v>25000</v>
      </c>
      <c r="I18" t="s">
        <v>168</v>
      </c>
      <c r="J18" t="s">
        <v>169</v>
      </c>
      <c r="K18" s="2">
        <v>9988776655</v>
      </c>
      <c r="L18" t="s">
        <v>170</v>
      </c>
      <c r="M18" t="s">
        <v>136</v>
      </c>
      <c r="N18" s="4">
        <v>45371</v>
      </c>
      <c r="O18" s="4">
        <v>45397</v>
      </c>
      <c r="P18">
        <f>Procurement[[#This Row],[ Date Delivered ]]-Procurement[[#This Row],[ Date Ordered ]]</f>
        <v>26</v>
      </c>
      <c r="Q18" s="2">
        <v>48</v>
      </c>
      <c r="R18" s="3">
        <v>2000</v>
      </c>
      <c r="S18" s="3">
        <v>1200</v>
      </c>
      <c r="T18" s="3">
        <f>Procurement[[#This Row],[ Quantity ]]*Procurement[[#This Row],[ Unit Price (USD) ]]</f>
        <v>50000</v>
      </c>
      <c r="U18" s="3">
        <f>Procurement[[#This Row],[Total Procurement Cost]]+Procurement[[#This Row],[ Maintenance Cost (USD/year) ]]+Procurement[[#This Row],[ Installation Cost (USD) ]]</f>
        <v>53200</v>
      </c>
      <c r="V18" t="s">
        <v>28</v>
      </c>
      <c r="W18" t="str">
        <f>IF(Procurement[[#This Row],[Delivery Days]]&gt;0,"Late",IF(Procurement[[#This Row],[Delivery Days]]=0,"On Time","Early"))</f>
        <v>Late</v>
      </c>
      <c r="X18" t="str">
        <f>IF(Procurement[[#This Row],[ Warranty Period (Months) ]]&lt;24,"Short",IF(Procurement[[#This Row],[ Warranty Period (Months) ]]&lt;36,"Medium","Long"))</f>
        <v>Long</v>
      </c>
    </row>
    <row r="19" spans="1:24" x14ac:dyDescent="0.3">
      <c r="A19" s="2">
        <v>18</v>
      </c>
      <c r="B19" t="s">
        <v>171</v>
      </c>
      <c r="C19" t="s">
        <v>172</v>
      </c>
      <c r="D19" t="s">
        <v>173</v>
      </c>
      <c r="E19" t="s">
        <v>174</v>
      </c>
      <c r="F19" t="s">
        <v>175</v>
      </c>
      <c r="G19" s="2">
        <v>3</v>
      </c>
      <c r="H19" s="3">
        <v>15000</v>
      </c>
      <c r="I19" t="s">
        <v>176</v>
      </c>
      <c r="J19" t="s">
        <v>54</v>
      </c>
      <c r="K19" s="2">
        <v>3322114455</v>
      </c>
      <c r="L19" t="s">
        <v>177</v>
      </c>
      <c r="M19" t="s">
        <v>56</v>
      </c>
      <c r="N19" s="4">
        <v>45316</v>
      </c>
      <c r="O19" s="4">
        <v>45342</v>
      </c>
      <c r="P19">
        <f>Procurement[[#This Row],[ Date Delivered ]]-Procurement[[#This Row],[ Date Ordered ]]</f>
        <v>26</v>
      </c>
      <c r="Q19" s="2">
        <v>36</v>
      </c>
      <c r="R19" s="3">
        <v>1800</v>
      </c>
      <c r="S19" s="3">
        <v>1000</v>
      </c>
      <c r="T19" s="3">
        <f>Procurement[[#This Row],[ Quantity ]]*Procurement[[#This Row],[ Unit Price (USD) ]]</f>
        <v>45000</v>
      </c>
      <c r="U19" s="3">
        <f>Procurement[[#This Row],[Total Procurement Cost]]+Procurement[[#This Row],[ Maintenance Cost (USD/year) ]]+Procurement[[#This Row],[ Installation Cost (USD) ]]</f>
        <v>47800</v>
      </c>
      <c r="V19" t="s">
        <v>47</v>
      </c>
      <c r="W19" t="str">
        <f>IF(Procurement[[#This Row],[Delivery Days]]&gt;0,"Late",IF(Procurement[[#This Row],[Delivery Days]]=0,"On Time","Early"))</f>
        <v>Late</v>
      </c>
      <c r="X19" t="str">
        <f>IF(Procurement[[#This Row],[ Warranty Period (Months) ]]&lt;24,"Short",IF(Procurement[[#This Row],[ Warranty Period (Months) ]]&lt;36,"Medium","Long"))</f>
        <v>Long</v>
      </c>
    </row>
    <row r="20" spans="1:24" x14ac:dyDescent="0.3">
      <c r="A20" s="2">
        <v>19</v>
      </c>
      <c r="B20" t="s">
        <v>178</v>
      </c>
      <c r="C20" t="s">
        <v>179</v>
      </c>
      <c r="D20" t="s">
        <v>180</v>
      </c>
      <c r="E20" t="s">
        <v>181</v>
      </c>
      <c r="F20" t="s">
        <v>182</v>
      </c>
      <c r="G20" s="2">
        <v>1</v>
      </c>
      <c r="H20" s="3">
        <v>5000</v>
      </c>
      <c r="I20" t="s">
        <v>183</v>
      </c>
      <c r="J20" t="s">
        <v>109</v>
      </c>
      <c r="K20" s="2">
        <v>7755332211</v>
      </c>
      <c r="L20" t="s">
        <v>184</v>
      </c>
      <c r="M20" t="s">
        <v>27</v>
      </c>
      <c r="N20" s="4">
        <v>45387</v>
      </c>
      <c r="O20" s="4">
        <v>45412</v>
      </c>
      <c r="P20">
        <f>Procurement[[#This Row],[ Date Delivered ]]-Procurement[[#This Row],[ Date Ordered ]]</f>
        <v>25</v>
      </c>
      <c r="Q20" s="2">
        <v>24</v>
      </c>
      <c r="R20" s="3">
        <v>800</v>
      </c>
      <c r="S20" s="3">
        <v>600</v>
      </c>
      <c r="T20" s="3">
        <f>Procurement[[#This Row],[ Quantity ]]*Procurement[[#This Row],[ Unit Price (USD) ]]</f>
        <v>5000</v>
      </c>
      <c r="U20" s="3">
        <f>Procurement[[#This Row],[Total Procurement Cost]]+Procurement[[#This Row],[ Maintenance Cost (USD/year) ]]+Procurement[[#This Row],[ Installation Cost (USD) ]]</f>
        <v>6400</v>
      </c>
      <c r="V20" t="s">
        <v>28</v>
      </c>
      <c r="W20" t="str">
        <f>IF(Procurement[[#This Row],[Delivery Days]]&gt;0,"Late",IF(Procurement[[#This Row],[Delivery Days]]=0,"On Time","Early"))</f>
        <v>Late</v>
      </c>
      <c r="X20" t="str">
        <f>IF(Procurement[[#This Row],[ Warranty Period (Months) ]]&lt;24,"Short",IF(Procurement[[#This Row],[ Warranty Period (Months) ]]&lt;36,"Medium","Long"))</f>
        <v>Medium</v>
      </c>
    </row>
    <row r="21" spans="1:24" x14ac:dyDescent="0.3">
      <c r="A21" s="2">
        <v>20</v>
      </c>
      <c r="B21" t="s">
        <v>185</v>
      </c>
      <c r="C21" t="s">
        <v>186</v>
      </c>
      <c r="D21" t="s">
        <v>187</v>
      </c>
      <c r="E21" t="s">
        <v>188</v>
      </c>
      <c r="F21" t="s">
        <v>189</v>
      </c>
      <c r="G21" s="2">
        <v>2</v>
      </c>
      <c r="H21" s="3">
        <v>7000</v>
      </c>
      <c r="I21" t="s">
        <v>190</v>
      </c>
      <c r="J21" t="s">
        <v>100</v>
      </c>
      <c r="K21" s="2">
        <v>6677889900</v>
      </c>
      <c r="L21" t="s">
        <v>191</v>
      </c>
      <c r="M21" t="s">
        <v>102</v>
      </c>
      <c r="N21" s="4">
        <v>45361</v>
      </c>
      <c r="O21" s="4">
        <v>45387</v>
      </c>
      <c r="P21">
        <f>Procurement[[#This Row],[ Date Delivered ]]-Procurement[[#This Row],[ Date Ordered ]]</f>
        <v>26</v>
      </c>
      <c r="Q21" s="2">
        <v>36</v>
      </c>
      <c r="R21" s="3">
        <v>1200</v>
      </c>
      <c r="S21" s="3">
        <v>800</v>
      </c>
      <c r="T21" s="3">
        <f>Procurement[[#This Row],[ Quantity ]]*Procurement[[#This Row],[ Unit Price (USD) ]]</f>
        <v>14000</v>
      </c>
      <c r="U21" s="3">
        <f>Procurement[[#This Row],[Total Procurement Cost]]+Procurement[[#This Row],[ Maintenance Cost (USD/year) ]]+Procurement[[#This Row],[ Installation Cost (USD) ]]</f>
        <v>16000</v>
      </c>
      <c r="V21" t="s">
        <v>28</v>
      </c>
      <c r="W21" t="str">
        <f>IF(Procurement[[#This Row],[Delivery Days]]&gt;0,"Late",IF(Procurement[[#This Row],[Delivery Days]]=0,"On Time","Early"))</f>
        <v>Late</v>
      </c>
      <c r="X21" t="str">
        <f>IF(Procurement[[#This Row],[ Warranty Period (Months) ]]&lt;24,"Short",IF(Procurement[[#This Row],[ Warranty Period (Months) ]]&lt;36,"Medium","Long"))</f>
        <v>Long</v>
      </c>
    </row>
    <row r="22" spans="1:24" x14ac:dyDescent="0.3">
      <c r="A22" s="2">
        <v>21</v>
      </c>
      <c r="B22" t="s">
        <v>192</v>
      </c>
      <c r="C22" t="s">
        <v>156</v>
      </c>
      <c r="D22" t="s">
        <v>193</v>
      </c>
      <c r="E22" t="s">
        <v>194</v>
      </c>
      <c r="F22" t="s">
        <v>195</v>
      </c>
      <c r="G22" s="2">
        <v>1</v>
      </c>
      <c r="H22" s="3">
        <v>10000</v>
      </c>
      <c r="I22" t="s">
        <v>196</v>
      </c>
      <c r="J22" t="s">
        <v>64</v>
      </c>
      <c r="K22" s="2">
        <v>1122334455</v>
      </c>
      <c r="L22" t="s">
        <v>197</v>
      </c>
      <c r="M22" t="s">
        <v>66</v>
      </c>
      <c r="N22" s="4">
        <v>45337</v>
      </c>
      <c r="O22" s="4">
        <v>45361</v>
      </c>
      <c r="P22">
        <f>Procurement[[#This Row],[ Date Delivered ]]-Procurement[[#This Row],[ Date Ordered ]]</f>
        <v>24</v>
      </c>
      <c r="Q22" s="2">
        <v>24</v>
      </c>
      <c r="R22" s="3">
        <v>1000</v>
      </c>
      <c r="S22" s="3">
        <v>700</v>
      </c>
      <c r="T22" s="3">
        <f>Procurement[[#This Row],[ Quantity ]]*Procurement[[#This Row],[ Unit Price (USD) ]]</f>
        <v>10000</v>
      </c>
      <c r="U22" s="3">
        <f>Procurement[[#This Row],[Total Procurement Cost]]+Procurement[[#This Row],[ Maintenance Cost (USD/year) ]]+Procurement[[#This Row],[ Installation Cost (USD) ]]</f>
        <v>11700</v>
      </c>
      <c r="V22" t="s">
        <v>57</v>
      </c>
      <c r="W22" t="str">
        <f>IF(Procurement[[#This Row],[Delivery Days]]&gt;0,"Late",IF(Procurement[[#This Row],[Delivery Days]]=0,"On Time","Early"))</f>
        <v>Late</v>
      </c>
      <c r="X22" t="str">
        <f>IF(Procurement[[#This Row],[ Warranty Period (Months) ]]&lt;24,"Short",IF(Procurement[[#This Row],[ Warranty Period (Months) ]]&lt;36,"Medium","Long"))</f>
        <v>Medium</v>
      </c>
    </row>
    <row r="23" spans="1:24" x14ac:dyDescent="0.3">
      <c r="A23" s="2">
        <v>22</v>
      </c>
      <c r="B23" t="s">
        <v>198</v>
      </c>
      <c r="C23" t="s">
        <v>199</v>
      </c>
      <c r="D23" t="s">
        <v>200</v>
      </c>
      <c r="E23" t="s">
        <v>201</v>
      </c>
      <c r="F23" t="s">
        <v>202</v>
      </c>
      <c r="G23" s="2">
        <v>2</v>
      </c>
      <c r="H23" s="3">
        <v>3000</v>
      </c>
      <c r="I23" t="s">
        <v>203</v>
      </c>
      <c r="J23" t="s">
        <v>117</v>
      </c>
      <c r="K23" s="2">
        <v>9988776655</v>
      </c>
      <c r="L23" t="s">
        <v>204</v>
      </c>
      <c r="M23" t="s">
        <v>27</v>
      </c>
      <c r="N23" s="4">
        <v>45311</v>
      </c>
      <c r="O23" s="4">
        <v>45337</v>
      </c>
      <c r="P23">
        <f>Procurement[[#This Row],[ Date Delivered ]]-Procurement[[#This Row],[ Date Ordered ]]</f>
        <v>26</v>
      </c>
      <c r="Q23" s="2">
        <v>36</v>
      </c>
      <c r="R23" s="3">
        <v>800</v>
      </c>
      <c r="S23" s="3">
        <v>500</v>
      </c>
      <c r="T23" s="3">
        <f>Procurement[[#This Row],[ Quantity ]]*Procurement[[#This Row],[ Unit Price (USD) ]]</f>
        <v>6000</v>
      </c>
      <c r="U23" s="3">
        <f>Procurement[[#This Row],[Total Procurement Cost]]+Procurement[[#This Row],[ Maintenance Cost (USD/year) ]]+Procurement[[#This Row],[ Installation Cost (USD) ]]</f>
        <v>7300</v>
      </c>
      <c r="V23" t="s">
        <v>205</v>
      </c>
      <c r="W23" t="str">
        <f>IF(Procurement[[#This Row],[Delivery Days]]&gt;0,"Late",IF(Procurement[[#This Row],[Delivery Days]]=0,"On Time","Early"))</f>
        <v>Late</v>
      </c>
      <c r="X23" t="str">
        <f>IF(Procurement[[#This Row],[ Warranty Period (Months) ]]&lt;24,"Short",IF(Procurement[[#This Row],[ Warranty Period (Months) ]]&lt;36,"Medium","Long"))</f>
        <v>Long</v>
      </c>
    </row>
    <row r="24" spans="1:24" x14ac:dyDescent="0.3">
      <c r="A24" s="2">
        <v>23</v>
      </c>
      <c r="B24" t="s">
        <v>206</v>
      </c>
      <c r="C24" t="s">
        <v>207</v>
      </c>
      <c r="D24" t="s">
        <v>208</v>
      </c>
      <c r="E24" t="s">
        <v>209</v>
      </c>
      <c r="F24" t="s">
        <v>210</v>
      </c>
      <c r="G24" s="2">
        <v>1</v>
      </c>
      <c r="H24" s="3">
        <v>12000</v>
      </c>
      <c r="I24" t="s">
        <v>211</v>
      </c>
      <c r="J24" t="s">
        <v>109</v>
      </c>
      <c r="K24" s="2">
        <v>3322114455</v>
      </c>
      <c r="L24" t="s">
        <v>212</v>
      </c>
      <c r="M24" t="s">
        <v>27</v>
      </c>
      <c r="N24" s="4">
        <v>45392</v>
      </c>
      <c r="O24" s="4">
        <v>45417</v>
      </c>
      <c r="P24">
        <f>Procurement[[#This Row],[ Date Delivered ]]-Procurement[[#This Row],[ Date Ordered ]]</f>
        <v>25</v>
      </c>
      <c r="Q24" s="2">
        <v>24</v>
      </c>
      <c r="R24" s="3">
        <v>1500</v>
      </c>
      <c r="S24" s="3">
        <v>1000</v>
      </c>
      <c r="T24" s="3">
        <f>Procurement[[#This Row],[ Quantity ]]*Procurement[[#This Row],[ Unit Price (USD) ]]</f>
        <v>12000</v>
      </c>
      <c r="U24" s="3">
        <f>Procurement[[#This Row],[Total Procurement Cost]]+Procurement[[#This Row],[ Maintenance Cost (USD/year) ]]+Procurement[[#This Row],[ Installation Cost (USD) ]]</f>
        <v>14500</v>
      </c>
      <c r="V24" t="s">
        <v>28</v>
      </c>
      <c r="W24" t="str">
        <f>IF(Procurement[[#This Row],[Delivery Days]]&gt;0,"Late",IF(Procurement[[#This Row],[Delivery Days]]=0,"On Time","Early"))</f>
        <v>Late</v>
      </c>
      <c r="X24" t="str">
        <f>IF(Procurement[[#This Row],[ Warranty Period (Months) ]]&lt;24,"Short",IF(Procurement[[#This Row],[ Warranty Period (Months) ]]&lt;36,"Medium","Long"))</f>
        <v>Medium</v>
      </c>
    </row>
    <row r="25" spans="1:24" x14ac:dyDescent="0.3">
      <c r="A25" s="2">
        <v>24</v>
      </c>
      <c r="B25" t="s">
        <v>213</v>
      </c>
      <c r="C25" t="s">
        <v>214</v>
      </c>
      <c r="D25" t="s">
        <v>215</v>
      </c>
      <c r="E25" t="s">
        <v>216</v>
      </c>
      <c r="F25" t="s">
        <v>217</v>
      </c>
      <c r="G25" s="2">
        <v>2</v>
      </c>
      <c r="H25" s="3">
        <v>8000</v>
      </c>
      <c r="I25" t="s">
        <v>218</v>
      </c>
      <c r="J25" t="s">
        <v>219</v>
      </c>
      <c r="K25" s="2">
        <v>7755332211</v>
      </c>
      <c r="L25" t="s">
        <v>220</v>
      </c>
      <c r="M25" t="s">
        <v>221</v>
      </c>
      <c r="N25" s="4">
        <v>45379</v>
      </c>
      <c r="O25" s="4">
        <v>45404</v>
      </c>
      <c r="P25">
        <f>Procurement[[#This Row],[ Date Delivered ]]-Procurement[[#This Row],[ Date Ordered ]]</f>
        <v>25</v>
      </c>
      <c r="Q25" s="2">
        <v>36</v>
      </c>
      <c r="R25" s="3">
        <v>1000</v>
      </c>
      <c r="S25" s="3">
        <v>700</v>
      </c>
      <c r="T25" s="3">
        <f>Procurement[[#This Row],[ Quantity ]]*Procurement[[#This Row],[ Unit Price (USD) ]]</f>
        <v>16000</v>
      </c>
      <c r="U25" s="3">
        <f>Procurement[[#This Row],[Total Procurement Cost]]+Procurement[[#This Row],[ Maintenance Cost (USD/year) ]]+Procurement[[#This Row],[ Installation Cost (USD) ]]</f>
        <v>17700</v>
      </c>
      <c r="V25" t="s">
        <v>57</v>
      </c>
      <c r="W25" t="str">
        <f>IF(Procurement[[#This Row],[Delivery Days]]&gt;0,"Late",IF(Procurement[[#This Row],[Delivery Days]]=0,"On Time","Early"))</f>
        <v>Late</v>
      </c>
      <c r="X25" t="str">
        <f>IF(Procurement[[#This Row],[ Warranty Period (Months) ]]&lt;24,"Short",IF(Procurement[[#This Row],[ Warranty Period (Months) ]]&lt;36,"Medium","Long"))</f>
        <v>Long</v>
      </c>
    </row>
    <row r="26" spans="1:24" x14ac:dyDescent="0.3">
      <c r="A26" s="2">
        <v>25</v>
      </c>
      <c r="B26" t="s">
        <v>222</v>
      </c>
      <c r="C26" t="s">
        <v>214</v>
      </c>
      <c r="D26" t="s">
        <v>223</v>
      </c>
      <c r="E26" t="s">
        <v>224</v>
      </c>
      <c r="F26" t="s">
        <v>225</v>
      </c>
      <c r="G26" s="2">
        <v>1</v>
      </c>
      <c r="H26" s="3">
        <v>25000</v>
      </c>
      <c r="I26" t="s">
        <v>226</v>
      </c>
      <c r="J26" t="s">
        <v>91</v>
      </c>
      <c r="K26" s="2">
        <v>6677889900</v>
      </c>
      <c r="L26" t="s">
        <v>227</v>
      </c>
      <c r="M26" t="s">
        <v>93</v>
      </c>
      <c r="N26" s="4">
        <v>45327</v>
      </c>
      <c r="O26" s="4">
        <v>45352</v>
      </c>
      <c r="P26">
        <f>Procurement[[#This Row],[ Date Delivered ]]-Procurement[[#This Row],[ Date Ordered ]]</f>
        <v>25</v>
      </c>
      <c r="Q26" s="2">
        <v>48</v>
      </c>
      <c r="R26" s="3">
        <v>2000</v>
      </c>
      <c r="S26" s="3">
        <v>1200</v>
      </c>
      <c r="T26" s="3">
        <f>Procurement[[#This Row],[ Quantity ]]*Procurement[[#This Row],[ Unit Price (USD) ]]</f>
        <v>25000</v>
      </c>
      <c r="U26" s="3">
        <f>Procurement[[#This Row],[Total Procurement Cost]]+Procurement[[#This Row],[ Maintenance Cost (USD/year) ]]+Procurement[[#This Row],[ Installation Cost (USD) ]]</f>
        <v>28200</v>
      </c>
      <c r="V26" t="s">
        <v>28</v>
      </c>
      <c r="W26" t="str">
        <f>IF(Procurement[[#This Row],[Delivery Days]]&gt;0,"Late",IF(Procurement[[#This Row],[Delivery Days]]=0,"On Time","Early"))</f>
        <v>Late</v>
      </c>
      <c r="X26" t="str">
        <f>IF(Procurement[[#This Row],[ Warranty Period (Months) ]]&lt;24,"Short",IF(Procurement[[#This Row],[ Warranty Period (Months) ]]&lt;36,"Medium","Long"))</f>
        <v>Long</v>
      </c>
    </row>
    <row r="27" spans="1:24" x14ac:dyDescent="0.3">
      <c r="A27" s="2">
        <v>26</v>
      </c>
      <c r="B27" t="s">
        <v>228</v>
      </c>
      <c r="C27" t="s">
        <v>229</v>
      </c>
      <c r="D27" t="s">
        <v>230</v>
      </c>
      <c r="E27" t="s">
        <v>231</v>
      </c>
      <c r="F27" t="s">
        <v>232</v>
      </c>
      <c r="G27" s="2">
        <v>1</v>
      </c>
      <c r="H27" s="3">
        <v>40000</v>
      </c>
      <c r="I27" t="s">
        <v>233</v>
      </c>
      <c r="J27" t="s">
        <v>44</v>
      </c>
      <c r="K27" s="2">
        <v>1122334455</v>
      </c>
      <c r="L27" t="s">
        <v>234</v>
      </c>
      <c r="M27" t="s">
        <v>46</v>
      </c>
      <c r="N27" s="4">
        <v>45301</v>
      </c>
      <c r="O27" s="4">
        <v>45327</v>
      </c>
      <c r="P27">
        <f>Procurement[[#This Row],[ Date Delivered ]]-Procurement[[#This Row],[ Date Ordered ]]</f>
        <v>26</v>
      </c>
      <c r="Q27" s="2">
        <v>36</v>
      </c>
      <c r="R27" s="3">
        <v>2500</v>
      </c>
      <c r="S27" s="3">
        <v>1500</v>
      </c>
      <c r="T27" s="3">
        <f>Procurement[[#This Row],[ Quantity ]]*Procurement[[#This Row],[ Unit Price (USD) ]]</f>
        <v>40000</v>
      </c>
      <c r="U27" s="3">
        <f>Procurement[[#This Row],[Total Procurement Cost]]+Procurement[[#This Row],[ Maintenance Cost (USD/year) ]]+Procurement[[#This Row],[ Installation Cost (USD) ]]</f>
        <v>44000</v>
      </c>
      <c r="V27" t="s">
        <v>28</v>
      </c>
      <c r="W27" t="str">
        <f>IF(Procurement[[#This Row],[Delivery Days]]&gt;0,"Late",IF(Procurement[[#This Row],[Delivery Days]]=0,"On Time","Early"))</f>
        <v>Late</v>
      </c>
      <c r="X27" t="str">
        <f>IF(Procurement[[#This Row],[ Warranty Period (Months) ]]&lt;24,"Short",IF(Procurement[[#This Row],[ Warranty Period (Months) ]]&lt;36,"Medium","Long"))</f>
        <v>Long</v>
      </c>
    </row>
    <row r="28" spans="1:24" x14ac:dyDescent="0.3">
      <c r="A28" s="2">
        <v>27</v>
      </c>
      <c r="B28" t="s">
        <v>235</v>
      </c>
      <c r="C28" t="s">
        <v>236</v>
      </c>
      <c r="D28" t="s">
        <v>237</v>
      </c>
      <c r="E28" t="s">
        <v>238</v>
      </c>
      <c r="F28" t="s">
        <v>239</v>
      </c>
      <c r="G28" s="2">
        <v>1</v>
      </c>
      <c r="H28" s="3">
        <v>200000</v>
      </c>
      <c r="I28" t="s">
        <v>240</v>
      </c>
      <c r="J28" t="s">
        <v>73</v>
      </c>
      <c r="K28" s="2">
        <v>9988776655</v>
      </c>
      <c r="L28" t="s">
        <v>241</v>
      </c>
      <c r="M28" t="s">
        <v>75</v>
      </c>
      <c r="N28" s="4">
        <v>45384</v>
      </c>
      <c r="O28" s="4">
        <v>45407</v>
      </c>
      <c r="P28">
        <f>Procurement[[#This Row],[ Date Delivered ]]-Procurement[[#This Row],[ Date Ordered ]]</f>
        <v>23</v>
      </c>
      <c r="Q28" s="2">
        <v>48</v>
      </c>
      <c r="R28" s="3">
        <v>5000</v>
      </c>
      <c r="S28" s="3">
        <v>3000</v>
      </c>
      <c r="T28" s="3">
        <f>Procurement[[#This Row],[ Quantity ]]*Procurement[[#This Row],[ Unit Price (USD) ]]</f>
        <v>200000</v>
      </c>
      <c r="U28" s="3">
        <f>Procurement[[#This Row],[Total Procurement Cost]]+Procurement[[#This Row],[ Maintenance Cost (USD/year) ]]+Procurement[[#This Row],[ Installation Cost (USD) ]]</f>
        <v>208000</v>
      </c>
      <c r="V28" t="s">
        <v>28</v>
      </c>
      <c r="W28" t="str">
        <f>IF(Procurement[[#This Row],[Delivery Days]]&gt;0,"Late",IF(Procurement[[#This Row],[Delivery Days]]=0,"On Time","Early"))</f>
        <v>Late</v>
      </c>
      <c r="X28" t="str">
        <f>IF(Procurement[[#This Row],[ Warranty Period (Months) ]]&lt;24,"Short",IF(Procurement[[#This Row],[ Warranty Period (Months) ]]&lt;36,"Medium","Long"))</f>
        <v>Long</v>
      </c>
    </row>
    <row r="29" spans="1:24" x14ac:dyDescent="0.3">
      <c r="A29" s="2">
        <v>28</v>
      </c>
      <c r="B29" t="s">
        <v>242</v>
      </c>
      <c r="C29" t="s">
        <v>243</v>
      </c>
      <c r="D29" t="s">
        <v>244</v>
      </c>
      <c r="E29" t="s">
        <v>245</v>
      </c>
      <c r="F29" t="s">
        <v>246</v>
      </c>
      <c r="G29" s="2">
        <v>1</v>
      </c>
      <c r="H29" s="3">
        <v>70000</v>
      </c>
      <c r="I29" t="s">
        <v>247</v>
      </c>
      <c r="J29" t="s">
        <v>161</v>
      </c>
      <c r="K29" s="2">
        <v>3322114455</v>
      </c>
      <c r="L29" t="s">
        <v>248</v>
      </c>
      <c r="M29" t="s">
        <v>84</v>
      </c>
      <c r="N29" s="4">
        <v>45371</v>
      </c>
      <c r="O29" s="4">
        <v>45397</v>
      </c>
      <c r="P29">
        <f>Procurement[[#This Row],[ Date Delivered ]]-Procurement[[#This Row],[ Date Ordered ]]</f>
        <v>26</v>
      </c>
      <c r="Q29" s="2">
        <v>36</v>
      </c>
      <c r="R29" s="3">
        <v>3000</v>
      </c>
      <c r="S29" s="3">
        <v>2000</v>
      </c>
      <c r="T29" s="3">
        <f>Procurement[[#This Row],[ Quantity ]]*Procurement[[#This Row],[ Unit Price (USD) ]]</f>
        <v>70000</v>
      </c>
      <c r="U29" s="3">
        <f>Procurement[[#This Row],[Total Procurement Cost]]+Procurement[[#This Row],[ Maintenance Cost (USD/year) ]]+Procurement[[#This Row],[ Installation Cost (USD) ]]</f>
        <v>75000</v>
      </c>
      <c r="V29" t="s">
        <v>57</v>
      </c>
      <c r="W29" t="str">
        <f>IF(Procurement[[#This Row],[Delivery Days]]&gt;0,"Late",IF(Procurement[[#This Row],[Delivery Days]]=0,"On Time","Early"))</f>
        <v>Late</v>
      </c>
      <c r="X29" t="str">
        <f>IF(Procurement[[#This Row],[ Warranty Period (Months) ]]&lt;24,"Short",IF(Procurement[[#This Row],[ Warranty Period (Months) ]]&lt;36,"Medium","Long"))</f>
        <v>Long</v>
      </c>
    </row>
    <row r="30" spans="1:24" x14ac:dyDescent="0.3">
      <c r="A30" s="2">
        <v>29</v>
      </c>
      <c r="B30" t="s">
        <v>249</v>
      </c>
      <c r="C30" t="s">
        <v>250</v>
      </c>
      <c r="D30" t="s">
        <v>251</v>
      </c>
      <c r="E30" t="s">
        <v>252</v>
      </c>
      <c r="F30" t="s">
        <v>253</v>
      </c>
      <c r="G30" s="2">
        <v>2</v>
      </c>
      <c r="H30" s="3">
        <v>6000</v>
      </c>
      <c r="I30" t="s">
        <v>218</v>
      </c>
      <c r="J30" t="s">
        <v>219</v>
      </c>
      <c r="K30" s="2">
        <v>7755332211</v>
      </c>
      <c r="L30" t="s">
        <v>220</v>
      </c>
      <c r="M30" t="s">
        <v>221</v>
      </c>
      <c r="N30" s="4">
        <v>45337</v>
      </c>
      <c r="O30" s="4">
        <v>45361</v>
      </c>
      <c r="P30">
        <f>Procurement[[#This Row],[ Date Delivered ]]-Procurement[[#This Row],[ Date Ordered ]]</f>
        <v>24</v>
      </c>
      <c r="Q30" s="2">
        <v>24</v>
      </c>
      <c r="R30" s="3">
        <v>800</v>
      </c>
      <c r="S30" s="3">
        <v>500</v>
      </c>
      <c r="T30" s="3">
        <f>Procurement[[#This Row],[ Quantity ]]*Procurement[[#This Row],[ Unit Price (USD) ]]</f>
        <v>12000</v>
      </c>
      <c r="U30" s="3">
        <f>Procurement[[#This Row],[Total Procurement Cost]]+Procurement[[#This Row],[ Maintenance Cost (USD/year) ]]+Procurement[[#This Row],[ Installation Cost (USD) ]]</f>
        <v>13300</v>
      </c>
      <c r="V30" t="s">
        <v>205</v>
      </c>
      <c r="W30" t="str">
        <f>IF(Procurement[[#This Row],[Delivery Days]]&gt;0,"Late",IF(Procurement[[#This Row],[Delivery Days]]=0,"On Time","Early"))</f>
        <v>Late</v>
      </c>
      <c r="X30" t="str">
        <f>IF(Procurement[[#This Row],[ Warranty Period (Months) ]]&lt;24,"Short",IF(Procurement[[#This Row],[ Warranty Period (Months) ]]&lt;36,"Medium","Long"))</f>
        <v>Medium</v>
      </c>
    </row>
    <row r="31" spans="1:24" x14ac:dyDescent="0.3">
      <c r="A31" s="2">
        <v>30</v>
      </c>
      <c r="B31" t="s">
        <v>254</v>
      </c>
      <c r="C31" t="s">
        <v>255</v>
      </c>
      <c r="D31" t="s">
        <v>256</v>
      </c>
      <c r="E31" t="s">
        <v>114</v>
      </c>
      <c r="F31" t="s">
        <v>257</v>
      </c>
      <c r="G31" s="2">
        <v>2</v>
      </c>
      <c r="H31" s="3">
        <v>25000</v>
      </c>
      <c r="I31" t="s">
        <v>258</v>
      </c>
      <c r="J31" t="s">
        <v>54</v>
      </c>
      <c r="K31" s="2">
        <v>6677889900</v>
      </c>
      <c r="L31" t="s">
        <v>259</v>
      </c>
      <c r="M31" t="s">
        <v>56</v>
      </c>
      <c r="N31" s="4">
        <v>45311</v>
      </c>
      <c r="O31" s="4">
        <v>45337</v>
      </c>
      <c r="P31">
        <f>Procurement[[#This Row],[ Date Delivered ]]-Procurement[[#This Row],[ Date Ordered ]]</f>
        <v>26</v>
      </c>
      <c r="Q31" s="2">
        <v>36</v>
      </c>
      <c r="R31" s="3">
        <v>1500</v>
      </c>
      <c r="S31" s="3">
        <v>1000</v>
      </c>
      <c r="T31" s="3">
        <f>Procurement[[#This Row],[ Quantity ]]*Procurement[[#This Row],[ Unit Price (USD) ]]</f>
        <v>50000</v>
      </c>
      <c r="U31" s="3">
        <f>Procurement[[#This Row],[Total Procurement Cost]]+Procurement[[#This Row],[ Maintenance Cost (USD/year) ]]+Procurement[[#This Row],[ Installation Cost (USD) ]]</f>
        <v>52500</v>
      </c>
      <c r="V31" t="s">
        <v>57</v>
      </c>
      <c r="W31" t="str">
        <f>IF(Procurement[[#This Row],[Delivery Days]]&gt;0,"Late",IF(Procurement[[#This Row],[Delivery Days]]=0,"On Time","Early"))</f>
        <v>Late</v>
      </c>
      <c r="X31" t="str">
        <f>IF(Procurement[[#This Row],[ Warranty Period (Months) ]]&lt;24,"Short",IF(Procurement[[#This Row],[ Warranty Period (Months) ]]&lt;36,"Medium","Long"))</f>
        <v>Long</v>
      </c>
    </row>
    <row r="32" spans="1:24" x14ac:dyDescent="0.3">
      <c r="A32" s="2">
        <v>31</v>
      </c>
      <c r="B32" t="s">
        <v>260</v>
      </c>
      <c r="C32" t="s">
        <v>147</v>
      </c>
      <c r="D32" t="s">
        <v>261</v>
      </c>
      <c r="E32" t="s">
        <v>262</v>
      </c>
      <c r="F32" t="s">
        <v>263</v>
      </c>
      <c r="G32" s="2">
        <v>1</v>
      </c>
      <c r="H32" s="3">
        <v>15000</v>
      </c>
      <c r="I32" t="s">
        <v>264</v>
      </c>
      <c r="J32" t="s">
        <v>265</v>
      </c>
      <c r="K32" s="2">
        <v>6677889900</v>
      </c>
      <c r="L32" t="s">
        <v>266</v>
      </c>
      <c r="M32" t="s">
        <v>267</v>
      </c>
      <c r="N32" s="4">
        <v>45392</v>
      </c>
      <c r="O32" s="4">
        <v>45417</v>
      </c>
      <c r="P32">
        <f>Procurement[[#This Row],[ Date Delivered ]]-Procurement[[#This Row],[ Date Ordered ]]</f>
        <v>25</v>
      </c>
      <c r="Q32" s="2">
        <v>36</v>
      </c>
      <c r="R32" s="3">
        <v>2000</v>
      </c>
      <c r="S32" s="3">
        <v>1200</v>
      </c>
      <c r="T32" s="3">
        <f>Procurement[[#This Row],[ Quantity ]]*Procurement[[#This Row],[ Unit Price (USD) ]]</f>
        <v>15000</v>
      </c>
      <c r="U32" s="3">
        <f>Procurement[[#This Row],[Total Procurement Cost]]+Procurement[[#This Row],[ Maintenance Cost (USD/year) ]]+Procurement[[#This Row],[ Installation Cost (USD) ]]</f>
        <v>18200</v>
      </c>
      <c r="V32" t="s">
        <v>28</v>
      </c>
      <c r="W32" t="str">
        <f>IF(Procurement[[#This Row],[Delivery Days]]&gt;0,"Late",IF(Procurement[[#This Row],[Delivery Days]]=0,"On Time","Early"))</f>
        <v>Late</v>
      </c>
      <c r="X32" t="str">
        <f>IF(Procurement[[#This Row],[ Warranty Period (Months) ]]&lt;24,"Short",IF(Procurement[[#This Row],[ Warranty Period (Months) ]]&lt;36,"Medium","Long"))</f>
        <v>Long</v>
      </c>
    </row>
    <row r="33" spans="1:24" x14ac:dyDescent="0.3">
      <c r="A33" s="2">
        <v>32</v>
      </c>
      <c r="B33" t="s">
        <v>268</v>
      </c>
      <c r="C33" t="s">
        <v>186</v>
      </c>
      <c r="D33" t="s">
        <v>269</v>
      </c>
      <c r="E33" t="s">
        <v>270</v>
      </c>
      <c r="F33" t="s">
        <v>271</v>
      </c>
      <c r="G33" s="2">
        <v>3</v>
      </c>
      <c r="H33" s="3">
        <v>3000</v>
      </c>
      <c r="I33" t="s">
        <v>272</v>
      </c>
      <c r="J33" t="s">
        <v>54</v>
      </c>
      <c r="K33" s="2">
        <v>7755332211</v>
      </c>
      <c r="L33" t="s">
        <v>273</v>
      </c>
      <c r="M33" t="s">
        <v>56</v>
      </c>
      <c r="N33" s="4">
        <v>45366</v>
      </c>
      <c r="O33" s="4">
        <v>45392</v>
      </c>
      <c r="P33">
        <f>Procurement[[#This Row],[ Date Delivered ]]-Procurement[[#This Row],[ Date Ordered ]]</f>
        <v>26</v>
      </c>
      <c r="Q33" s="2">
        <v>24</v>
      </c>
      <c r="R33" s="3">
        <v>1000</v>
      </c>
      <c r="S33" s="3">
        <v>500</v>
      </c>
      <c r="T33" s="3">
        <f>Procurement[[#This Row],[ Quantity ]]*Procurement[[#This Row],[ Unit Price (USD) ]]</f>
        <v>9000</v>
      </c>
      <c r="U33" s="3">
        <f>Procurement[[#This Row],[Total Procurement Cost]]+Procurement[[#This Row],[ Maintenance Cost (USD/year) ]]+Procurement[[#This Row],[ Installation Cost (USD) ]]</f>
        <v>10500</v>
      </c>
      <c r="V33" t="s">
        <v>47</v>
      </c>
      <c r="W33" t="str">
        <f>IF(Procurement[[#This Row],[Delivery Days]]&gt;0,"Late",IF(Procurement[[#This Row],[Delivery Days]]=0,"On Time","Early"))</f>
        <v>Late</v>
      </c>
      <c r="X33" t="str">
        <f>IF(Procurement[[#This Row],[ Warranty Period (Months) ]]&lt;24,"Short",IF(Procurement[[#This Row],[ Warranty Period (Months) ]]&lt;36,"Medium","Long"))</f>
        <v>Medium</v>
      </c>
    </row>
    <row r="34" spans="1:24" x14ac:dyDescent="0.3">
      <c r="A34" s="2">
        <v>33</v>
      </c>
      <c r="B34" t="s">
        <v>274</v>
      </c>
      <c r="C34" t="s">
        <v>275</v>
      </c>
      <c r="D34" t="s">
        <v>276</v>
      </c>
      <c r="E34" t="s">
        <v>277</v>
      </c>
      <c r="F34" t="s">
        <v>278</v>
      </c>
      <c r="G34" s="2">
        <v>1</v>
      </c>
      <c r="H34" s="3">
        <v>10000</v>
      </c>
      <c r="I34" t="s">
        <v>279</v>
      </c>
      <c r="J34" t="s">
        <v>100</v>
      </c>
      <c r="K34" s="2">
        <v>6677889900</v>
      </c>
      <c r="L34" t="s">
        <v>280</v>
      </c>
      <c r="M34" t="s">
        <v>102</v>
      </c>
      <c r="N34" s="4">
        <v>45342</v>
      </c>
      <c r="O34" s="4">
        <v>45369</v>
      </c>
      <c r="P34">
        <f>Procurement[[#This Row],[ Date Delivered ]]-Procurement[[#This Row],[ Date Ordered ]]</f>
        <v>27</v>
      </c>
      <c r="Q34" s="2">
        <v>36</v>
      </c>
      <c r="R34" s="3">
        <v>1500</v>
      </c>
      <c r="S34" s="3">
        <v>1000</v>
      </c>
      <c r="T34" s="3">
        <f>Procurement[[#This Row],[ Quantity ]]*Procurement[[#This Row],[ Unit Price (USD) ]]</f>
        <v>10000</v>
      </c>
      <c r="U34" s="3">
        <f>Procurement[[#This Row],[Total Procurement Cost]]+Procurement[[#This Row],[ Maintenance Cost (USD/year) ]]+Procurement[[#This Row],[ Installation Cost (USD) ]]</f>
        <v>12500</v>
      </c>
      <c r="V34" t="s">
        <v>57</v>
      </c>
      <c r="W34" t="str">
        <f>IF(Procurement[[#This Row],[Delivery Days]]&gt;0,"Late",IF(Procurement[[#This Row],[Delivery Days]]=0,"On Time","Early"))</f>
        <v>Late</v>
      </c>
      <c r="X34" t="str">
        <f>IF(Procurement[[#This Row],[ Warranty Period (Months) ]]&lt;24,"Short",IF(Procurement[[#This Row],[ Warranty Period (Months) ]]&lt;36,"Medium","Long"))</f>
        <v>Long</v>
      </c>
    </row>
    <row r="35" spans="1:24" x14ac:dyDescent="0.3">
      <c r="A35" s="2">
        <v>34</v>
      </c>
      <c r="B35" t="s">
        <v>281</v>
      </c>
      <c r="C35" t="s">
        <v>112</v>
      </c>
      <c r="D35" t="s">
        <v>282</v>
      </c>
      <c r="E35" t="s">
        <v>283</v>
      </c>
      <c r="F35" t="s">
        <v>284</v>
      </c>
      <c r="G35" s="2">
        <v>2</v>
      </c>
      <c r="H35" s="3">
        <v>8000</v>
      </c>
      <c r="I35" t="s">
        <v>285</v>
      </c>
      <c r="J35" t="s">
        <v>125</v>
      </c>
      <c r="K35" s="2">
        <v>7755332211</v>
      </c>
      <c r="L35" t="s">
        <v>286</v>
      </c>
      <c r="M35" t="s">
        <v>127</v>
      </c>
      <c r="N35" s="4">
        <v>45301</v>
      </c>
      <c r="O35" s="4">
        <v>45327</v>
      </c>
      <c r="P35">
        <f>Procurement[[#This Row],[ Date Delivered ]]-Procurement[[#This Row],[ Date Ordered ]]</f>
        <v>26</v>
      </c>
      <c r="Q35" s="2">
        <v>24</v>
      </c>
      <c r="R35" s="3">
        <v>1200</v>
      </c>
      <c r="S35" s="3">
        <v>700</v>
      </c>
      <c r="T35" s="3">
        <f>Procurement[[#This Row],[ Quantity ]]*Procurement[[#This Row],[ Unit Price (USD) ]]</f>
        <v>16000</v>
      </c>
      <c r="U35" s="3">
        <f>Procurement[[#This Row],[Total Procurement Cost]]+Procurement[[#This Row],[ Maintenance Cost (USD/year) ]]+Procurement[[#This Row],[ Installation Cost (USD) ]]</f>
        <v>17900</v>
      </c>
      <c r="V35" t="s">
        <v>28</v>
      </c>
      <c r="W35" t="str">
        <f>IF(Procurement[[#This Row],[Delivery Days]]&gt;0,"Late",IF(Procurement[[#This Row],[Delivery Days]]=0,"On Time","Early"))</f>
        <v>Late</v>
      </c>
      <c r="X35" t="str">
        <f>IF(Procurement[[#This Row],[ Warranty Period (Months) ]]&lt;24,"Short",IF(Procurement[[#This Row],[ Warranty Period (Months) ]]&lt;36,"Medium","Long"))</f>
        <v>Medium</v>
      </c>
    </row>
    <row r="36" spans="1:24" x14ac:dyDescent="0.3">
      <c r="A36" s="2">
        <v>35</v>
      </c>
      <c r="B36" t="s">
        <v>287</v>
      </c>
      <c r="C36" t="s">
        <v>288</v>
      </c>
      <c r="D36" t="s">
        <v>289</v>
      </c>
      <c r="E36" t="s">
        <v>290</v>
      </c>
      <c r="F36" t="s">
        <v>291</v>
      </c>
      <c r="G36" s="2">
        <v>1</v>
      </c>
      <c r="H36" s="3">
        <v>10000</v>
      </c>
      <c r="I36" t="s">
        <v>292</v>
      </c>
      <c r="J36" t="s">
        <v>109</v>
      </c>
      <c r="K36" s="2">
        <v>3322114455</v>
      </c>
      <c r="L36" t="s">
        <v>293</v>
      </c>
      <c r="M36" t="s">
        <v>27</v>
      </c>
      <c r="N36" s="4">
        <v>45384</v>
      </c>
      <c r="O36" s="4">
        <v>45407</v>
      </c>
      <c r="P36">
        <f>Procurement[[#This Row],[ Date Delivered ]]-Procurement[[#This Row],[ Date Ordered ]]</f>
        <v>23</v>
      </c>
      <c r="Q36" s="2">
        <v>36</v>
      </c>
      <c r="R36" s="3">
        <v>1500</v>
      </c>
      <c r="S36" s="3">
        <v>800</v>
      </c>
      <c r="T36" s="3">
        <f>Procurement[[#This Row],[ Quantity ]]*Procurement[[#This Row],[ Unit Price (USD) ]]</f>
        <v>10000</v>
      </c>
      <c r="U36" s="3">
        <f>Procurement[[#This Row],[Total Procurement Cost]]+Procurement[[#This Row],[ Maintenance Cost (USD/year) ]]+Procurement[[#This Row],[ Installation Cost (USD) ]]</f>
        <v>12300</v>
      </c>
      <c r="V36" t="s">
        <v>57</v>
      </c>
      <c r="W36" t="str">
        <f>IF(Procurement[[#This Row],[Delivery Days]]&gt;0,"Late",IF(Procurement[[#This Row],[Delivery Days]]=0,"On Time","Early"))</f>
        <v>Late</v>
      </c>
      <c r="X36" t="str">
        <f>IF(Procurement[[#This Row],[ Warranty Period (Months) ]]&lt;24,"Short",IF(Procurement[[#This Row],[ Warranty Period (Months) ]]&lt;36,"Medium","Long"))</f>
        <v>Long</v>
      </c>
    </row>
    <row r="37" spans="1:24" x14ac:dyDescent="0.3">
      <c r="A37" s="2">
        <v>36</v>
      </c>
      <c r="B37" t="s">
        <v>294</v>
      </c>
      <c r="C37" t="s">
        <v>179</v>
      </c>
      <c r="D37" t="s">
        <v>295</v>
      </c>
      <c r="E37" t="s">
        <v>296</v>
      </c>
      <c r="F37" t="s">
        <v>297</v>
      </c>
      <c r="G37" s="2">
        <v>1</v>
      </c>
      <c r="H37" s="3">
        <v>6000</v>
      </c>
      <c r="I37" t="s">
        <v>298</v>
      </c>
      <c r="J37" t="s">
        <v>91</v>
      </c>
      <c r="K37" s="2">
        <v>9988776655</v>
      </c>
      <c r="L37" t="s">
        <v>299</v>
      </c>
      <c r="M37" t="s">
        <v>93</v>
      </c>
      <c r="N37" s="4">
        <v>45356</v>
      </c>
      <c r="O37" s="4">
        <v>45379</v>
      </c>
      <c r="P37">
        <f>Procurement[[#This Row],[ Date Delivered ]]-Procurement[[#This Row],[ Date Ordered ]]</f>
        <v>23</v>
      </c>
      <c r="Q37" s="2">
        <v>24</v>
      </c>
      <c r="R37" s="3">
        <v>800</v>
      </c>
      <c r="S37" s="3">
        <v>500</v>
      </c>
      <c r="T37" s="3">
        <f>Procurement[[#This Row],[ Quantity ]]*Procurement[[#This Row],[ Unit Price (USD) ]]</f>
        <v>6000</v>
      </c>
      <c r="U37" s="3">
        <f>Procurement[[#This Row],[Total Procurement Cost]]+Procurement[[#This Row],[ Maintenance Cost (USD/year) ]]+Procurement[[#This Row],[ Installation Cost (USD) ]]</f>
        <v>7300</v>
      </c>
      <c r="V37" t="s">
        <v>205</v>
      </c>
      <c r="W37" t="str">
        <f>IF(Procurement[[#This Row],[Delivery Days]]&gt;0,"Late",IF(Procurement[[#This Row],[Delivery Days]]=0,"On Time","Early"))</f>
        <v>Late</v>
      </c>
      <c r="X37" t="str">
        <f>IF(Procurement[[#This Row],[ Warranty Period (Months) ]]&lt;24,"Short",IF(Procurement[[#This Row],[ Warranty Period (Months) ]]&lt;36,"Medium","Long"))</f>
        <v>Medium</v>
      </c>
    </row>
    <row r="38" spans="1:24" x14ac:dyDescent="0.3">
      <c r="A38" s="2">
        <v>37</v>
      </c>
      <c r="B38" t="s">
        <v>300</v>
      </c>
      <c r="C38" t="s">
        <v>186</v>
      </c>
      <c r="D38" t="s">
        <v>301</v>
      </c>
      <c r="E38" t="s">
        <v>302</v>
      </c>
      <c r="F38" t="s">
        <v>303</v>
      </c>
      <c r="G38" s="2">
        <v>1</v>
      </c>
      <c r="H38" s="3">
        <v>25000</v>
      </c>
      <c r="I38" t="s">
        <v>304</v>
      </c>
      <c r="J38" t="s">
        <v>161</v>
      </c>
      <c r="K38" s="2">
        <v>6677889900</v>
      </c>
      <c r="L38" t="s">
        <v>305</v>
      </c>
      <c r="M38" t="s">
        <v>84</v>
      </c>
      <c r="N38" s="4">
        <v>45350</v>
      </c>
      <c r="O38" s="4">
        <v>45376</v>
      </c>
      <c r="P38">
        <f>Procurement[[#This Row],[ Date Delivered ]]-Procurement[[#This Row],[ Date Ordered ]]</f>
        <v>26</v>
      </c>
      <c r="Q38" s="2">
        <v>48</v>
      </c>
      <c r="R38" s="3">
        <v>2000</v>
      </c>
      <c r="S38" s="3">
        <v>1200</v>
      </c>
      <c r="T38" s="3">
        <f>Procurement[[#This Row],[ Quantity ]]*Procurement[[#This Row],[ Unit Price (USD) ]]</f>
        <v>25000</v>
      </c>
      <c r="U38" s="3">
        <f>Procurement[[#This Row],[Total Procurement Cost]]+Procurement[[#This Row],[ Maintenance Cost (USD/year) ]]+Procurement[[#This Row],[ Installation Cost (USD) ]]</f>
        <v>28200</v>
      </c>
      <c r="V38" t="s">
        <v>28</v>
      </c>
      <c r="W38" t="str">
        <f>IF(Procurement[[#This Row],[Delivery Days]]&gt;0,"Late",IF(Procurement[[#This Row],[Delivery Days]]=0,"On Time","Early"))</f>
        <v>Late</v>
      </c>
      <c r="X38" t="str">
        <f>IF(Procurement[[#This Row],[ Warranty Period (Months) ]]&lt;24,"Short",IF(Procurement[[#This Row],[ Warranty Period (Months) ]]&lt;36,"Medium","Long"))</f>
        <v>Long</v>
      </c>
    </row>
    <row r="39" spans="1:24" x14ac:dyDescent="0.3">
      <c r="A39" s="2">
        <v>38</v>
      </c>
      <c r="B39" t="s">
        <v>306</v>
      </c>
      <c r="C39" t="s">
        <v>199</v>
      </c>
      <c r="D39" t="s">
        <v>307</v>
      </c>
      <c r="E39" t="s">
        <v>308</v>
      </c>
      <c r="F39" t="s">
        <v>309</v>
      </c>
      <c r="G39" s="2">
        <v>2</v>
      </c>
      <c r="H39" s="3">
        <v>20000</v>
      </c>
      <c r="I39" t="s">
        <v>310</v>
      </c>
      <c r="J39" t="s">
        <v>117</v>
      </c>
      <c r="K39" s="2">
        <v>7755332211</v>
      </c>
      <c r="L39" t="s">
        <v>311</v>
      </c>
      <c r="M39" t="s">
        <v>27</v>
      </c>
      <c r="N39" s="4">
        <v>45311</v>
      </c>
      <c r="O39" s="4">
        <v>45337</v>
      </c>
      <c r="P39">
        <f>Procurement[[#This Row],[ Date Delivered ]]-Procurement[[#This Row],[ Date Ordered ]]</f>
        <v>26</v>
      </c>
      <c r="Q39" s="2">
        <v>36</v>
      </c>
      <c r="R39" s="3">
        <v>1200</v>
      </c>
      <c r="S39" s="3">
        <v>700</v>
      </c>
      <c r="T39" s="3">
        <f>Procurement[[#This Row],[ Quantity ]]*Procurement[[#This Row],[ Unit Price (USD) ]]</f>
        <v>40000</v>
      </c>
      <c r="U39" s="3">
        <f>Procurement[[#This Row],[Total Procurement Cost]]+Procurement[[#This Row],[ Maintenance Cost (USD/year) ]]+Procurement[[#This Row],[ Installation Cost (USD) ]]</f>
        <v>41900</v>
      </c>
      <c r="V39" t="s">
        <v>57</v>
      </c>
      <c r="W39" t="str">
        <f>IF(Procurement[[#This Row],[Delivery Days]]&gt;0,"Late",IF(Procurement[[#This Row],[Delivery Days]]=0,"On Time","Early"))</f>
        <v>Late</v>
      </c>
      <c r="X39" t="str">
        <f>IF(Procurement[[#This Row],[ Warranty Period (Months) ]]&lt;24,"Short",IF(Procurement[[#This Row],[ Warranty Period (Months) ]]&lt;36,"Medium","Long"))</f>
        <v>Long</v>
      </c>
    </row>
    <row r="40" spans="1:24" x14ac:dyDescent="0.3">
      <c r="A40" s="2">
        <v>39</v>
      </c>
      <c r="B40" t="s">
        <v>312</v>
      </c>
      <c r="C40" t="s">
        <v>186</v>
      </c>
      <c r="D40" t="s">
        <v>313</v>
      </c>
      <c r="E40" t="s">
        <v>314</v>
      </c>
      <c r="F40" t="s">
        <v>315</v>
      </c>
      <c r="G40" s="2">
        <v>1</v>
      </c>
      <c r="H40" s="3">
        <v>500000</v>
      </c>
      <c r="I40" t="s">
        <v>316</v>
      </c>
      <c r="J40" t="s">
        <v>54</v>
      </c>
      <c r="K40" s="2">
        <v>3322114455</v>
      </c>
      <c r="L40" t="s">
        <v>317</v>
      </c>
      <c r="M40" t="s">
        <v>56</v>
      </c>
      <c r="N40" s="4">
        <v>45392</v>
      </c>
      <c r="O40" s="4">
        <v>45417</v>
      </c>
      <c r="P40">
        <f>Procurement[[#This Row],[ Date Delivered ]]-Procurement[[#This Row],[ Date Ordered ]]</f>
        <v>25</v>
      </c>
      <c r="Q40" s="2">
        <v>48</v>
      </c>
      <c r="R40" s="3">
        <v>5000</v>
      </c>
      <c r="S40" s="3">
        <v>3000</v>
      </c>
      <c r="T40" s="3">
        <f>Procurement[[#This Row],[ Quantity ]]*Procurement[[#This Row],[ Unit Price (USD) ]]</f>
        <v>500000</v>
      </c>
      <c r="U40" s="3">
        <f>Procurement[[#This Row],[Total Procurement Cost]]+Procurement[[#This Row],[ Maintenance Cost (USD/year) ]]+Procurement[[#This Row],[ Installation Cost (USD) ]]</f>
        <v>508000</v>
      </c>
      <c r="V40" t="s">
        <v>28</v>
      </c>
      <c r="W40" t="str">
        <f>IF(Procurement[[#This Row],[Delivery Days]]&gt;0,"Late",IF(Procurement[[#This Row],[Delivery Days]]=0,"On Time","Early"))</f>
        <v>Late</v>
      </c>
      <c r="X40" t="str">
        <f>IF(Procurement[[#This Row],[ Warranty Period (Months) ]]&lt;24,"Short",IF(Procurement[[#This Row],[ Warranty Period (Months) ]]&lt;36,"Medium","Long"))</f>
        <v>Long</v>
      </c>
    </row>
    <row r="41" spans="1:24" x14ac:dyDescent="0.3">
      <c r="A41" s="2">
        <v>40</v>
      </c>
      <c r="B41" t="s">
        <v>318</v>
      </c>
      <c r="C41" t="s">
        <v>147</v>
      </c>
      <c r="D41" t="s">
        <v>319</v>
      </c>
      <c r="E41" t="s">
        <v>320</v>
      </c>
      <c r="F41" t="s">
        <v>321</v>
      </c>
      <c r="G41" s="2">
        <v>2</v>
      </c>
      <c r="H41" s="3">
        <v>5000</v>
      </c>
      <c r="I41" t="s">
        <v>322</v>
      </c>
      <c r="J41" t="s">
        <v>219</v>
      </c>
      <c r="K41" s="2">
        <v>6677889900</v>
      </c>
      <c r="L41" t="s">
        <v>323</v>
      </c>
      <c r="M41" t="s">
        <v>221</v>
      </c>
      <c r="N41" s="4">
        <v>45366</v>
      </c>
      <c r="O41" s="4">
        <v>45392</v>
      </c>
      <c r="P41">
        <f>Procurement[[#This Row],[ Date Delivered ]]-Procurement[[#This Row],[ Date Ordered ]]</f>
        <v>26</v>
      </c>
      <c r="Q41" s="2">
        <v>24</v>
      </c>
      <c r="R41" s="3">
        <v>1000</v>
      </c>
      <c r="S41" s="3">
        <v>500</v>
      </c>
      <c r="T41" s="3">
        <f>Procurement[[#This Row],[ Quantity ]]*Procurement[[#This Row],[ Unit Price (USD) ]]</f>
        <v>10000</v>
      </c>
      <c r="U41" s="3">
        <f>Procurement[[#This Row],[Total Procurement Cost]]+Procurement[[#This Row],[ Maintenance Cost (USD/year) ]]+Procurement[[#This Row],[ Installation Cost (USD) ]]</f>
        <v>11500</v>
      </c>
      <c r="V41" t="s">
        <v>47</v>
      </c>
      <c r="W41" t="str">
        <f>IF(Procurement[[#This Row],[Delivery Days]]&gt;0,"Late",IF(Procurement[[#This Row],[Delivery Days]]=0,"On Time","Early"))</f>
        <v>Late</v>
      </c>
      <c r="X41" t="str">
        <f>IF(Procurement[[#This Row],[ Warranty Period (Months) ]]&lt;24,"Short",IF(Procurement[[#This Row],[ Warranty Period (Months) ]]&lt;36,"Medium","Long"))</f>
        <v>Medium</v>
      </c>
    </row>
    <row r="42" spans="1:24" x14ac:dyDescent="0.3">
      <c r="A42" s="2">
        <v>41</v>
      </c>
      <c r="B42" t="s">
        <v>324</v>
      </c>
      <c r="C42" t="s">
        <v>325</v>
      </c>
      <c r="D42" t="s">
        <v>326</v>
      </c>
      <c r="E42" t="s">
        <v>327</v>
      </c>
      <c r="F42" t="s">
        <v>328</v>
      </c>
      <c r="G42" s="2">
        <v>1</v>
      </c>
      <c r="H42" s="3">
        <v>15000</v>
      </c>
      <c r="I42" t="s">
        <v>329</v>
      </c>
      <c r="J42" t="s">
        <v>91</v>
      </c>
      <c r="K42" s="2">
        <v>7755332211</v>
      </c>
      <c r="L42" t="s">
        <v>330</v>
      </c>
      <c r="M42" t="s">
        <v>93</v>
      </c>
      <c r="N42" s="4">
        <v>45342</v>
      </c>
      <c r="O42" s="4">
        <v>45369</v>
      </c>
      <c r="P42">
        <f>Procurement[[#This Row],[ Date Delivered ]]-Procurement[[#This Row],[ Date Ordered ]]</f>
        <v>27</v>
      </c>
      <c r="Q42" s="2">
        <v>36</v>
      </c>
      <c r="R42" s="3">
        <v>2000</v>
      </c>
      <c r="S42" s="3">
        <v>1200</v>
      </c>
      <c r="T42" s="3">
        <f>Procurement[[#This Row],[ Quantity ]]*Procurement[[#This Row],[ Unit Price (USD) ]]</f>
        <v>15000</v>
      </c>
      <c r="U42" s="3">
        <f>Procurement[[#This Row],[Total Procurement Cost]]+Procurement[[#This Row],[ Maintenance Cost (USD/year) ]]+Procurement[[#This Row],[ Installation Cost (USD) ]]</f>
        <v>18200</v>
      </c>
      <c r="V42" t="s">
        <v>28</v>
      </c>
      <c r="W42" t="str">
        <f>IF(Procurement[[#This Row],[Delivery Days]]&gt;0,"Late",IF(Procurement[[#This Row],[Delivery Days]]=0,"On Time","Early"))</f>
        <v>Late</v>
      </c>
      <c r="X42" t="str">
        <f>IF(Procurement[[#This Row],[ Warranty Period (Months) ]]&lt;24,"Short",IF(Procurement[[#This Row],[ Warranty Period (Months) ]]&lt;36,"Medium","Long"))</f>
        <v>Long</v>
      </c>
    </row>
    <row r="43" spans="1:24" x14ac:dyDescent="0.3">
      <c r="A43" s="2">
        <v>42</v>
      </c>
      <c r="B43" t="s">
        <v>331</v>
      </c>
      <c r="C43" t="s">
        <v>120</v>
      </c>
      <c r="D43" t="s">
        <v>332</v>
      </c>
      <c r="E43" t="s">
        <v>333</v>
      </c>
      <c r="F43" t="s">
        <v>334</v>
      </c>
      <c r="G43" s="2">
        <v>1</v>
      </c>
      <c r="H43" s="3">
        <v>8000</v>
      </c>
      <c r="I43" t="s">
        <v>335</v>
      </c>
      <c r="J43" t="s">
        <v>44</v>
      </c>
      <c r="K43" s="2">
        <v>3322114455</v>
      </c>
      <c r="L43" t="s">
        <v>336</v>
      </c>
      <c r="M43" t="s">
        <v>46</v>
      </c>
      <c r="N43" s="4">
        <v>45301</v>
      </c>
      <c r="O43" s="4">
        <v>45327</v>
      </c>
      <c r="P43">
        <f>Procurement[[#This Row],[ Date Delivered ]]-Procurement[[#This Row],[ Date Ordered ]]</f>
        <v>26</v>
      </c>
      <c r="Q43" s="2">
        <v>48</v>
      </c>
      <c r="R43" s="3">
        <v>1500</v>
      </c>
      <c r="S43" s="3">
        <v>1000</v>
      </c>
      <c r="T43" s="3">
        <f>Procurement[[#This Row],[ Quantity ]]*Procurement[[#This Row],[ Unit Price (USD) ]]</f>
        <v>8000</v>
      </c>
      <c r="U43" s="3">
        <f>Procurement[[#This Row],[Total Procurement Cost]]+Procurement[[#This Row],[ Maintenance Cost (USD/year) ]]+Procurement[[#This Row],[ Installation Cost (USD) ]]</f>
        <v>10500</v>
      </c>
      <c r="V43" t="s">
        <v>57</v>
      </c>
      <c r="W43" t="str">
        <f>IF(Procurement[[#This Row],[Delivery Days]]&gt;0,"Late",IF(Procurement[[#This Row],[Delivery Days]]=0,"On Time","Early"))</f>
        <v>Late</v>
      </c>
      <c r="X43" t="str">
        <f>IF(Procurement[[#This Row],[ Warranty Period (Months) ]]&lt;24,"Short",IF(Procurement[[#This Row],[ Warranty Period (Months) ]]&lt;36,"Medium","Long"))</f>
        <v>Long</v>
      </c>
    </row>
    <row r="44" spans="1:24" x14ac:dyDescent="0.3">
      <c r="A44" s="2">
        <v>43</v>
      </c>
      <c r="B44" t="s">
        <v>337</v>
      </c>
      <c r="C44" t="s">
        <v>338</v>
      </c>
      <c r="D44" t="s">
        <v>339</v>
      </c>
      <c r="E44" t="s">
        <v>340</v>
      </c>
      <c r="F44" t="s">
        <v>341</v>
      </c>
      <c r="G44" s="2">
        <v>1</v>
      </c>
      <c r="H44" s="3">
        <v>30000</v>
      </c>
      <c r="I44" t="s">
        <v>342</v>
      </c>
      <c r="J44" t="s">
        <v>54</v>
      </c>
      <c r="K44" s="2">
        <v>6677889900</v>
      </c>
      <c r="L44" t="s">
        <v>343</v>
      </c>
      <c r="M44" t="s">
        <v>56</v>
      </c>
      <c r="N44" s="4">
        <v>45384</v>
      </c>
      <c r="O44" s="4">
        <v>45407</v>
      </c>
      <c r="P44">
        <f>Procurement[[#This Row],[ Date Delivered ]]-Procurement[[#This Row],[ Date Ordered ]]</f>
        <v>23</v>
      </c>
      <c r="Q44" s="2">
        <v>36</v>
      </c>
      <c r="R44" s="3">
        <v>1800</v>
      </c>
      <c r="S44" s="3">
        <v>1000</v>
      </c>
      <c r="T44" s="3">
        <f>Procurement[[#This Row],[ Quantity ]]*Procurement[[#This Row],[ Unit Price (USD) ]]</f>
        <v>30000</v>
      </c>
      <c r="U44" s="3">
        <f>Procurement[[#This Row],[Total Procurement Cost]]+Procurement[[#This Row],[ Maintenance Cost (USD/year) ]]+Procurement[[#This Row],[ Installation Cost (USD) ]]</f>
        <v>32800</v>
      </c>
      <c r="V44" t="s">
        <v>47</v>
      </c>
      <c r="W44" t="str">
        <f>IF(Procurement[[#This Row],[Delivery Days]]&gt;0,"Late",IF(Procurement[[#This Row],[Delivery Days]]=0,"On Time","Early"))</f>
        <v>Late</v>
      </c>
      <c r="X44" t="str">
        <f>IF(Procurement[[#This Row],[ Warranty Period (Months) ]]&lt;24,"Short",IF(Procurement[[#This Row],[ Warranty Period (Months) ]]&lt;36,"Medium","Long"))</f>
        <v>Long</v>
      </c>
    </row>
    <row r="45" spans="1:24" x14ac:dyDescent="0.3">
      <c r="A45" s="2">
        <v>44</v>
      </c>
      <c r="B45" t="s">
        <v>344</v>
      </c>
      <c r="C45" t="s">
        <v>156</v>
      </c>
      <c r="D45" t="s">
        <v>345</v>
      </c>
      <c r="E45" t="s">
        <v>346</v>
      </c>
      <c r="F45" t="s">
        <v>347</v>
      </c>
      <c r="G45" s="2">
        <v>3</v>
      </c>
      <c r="H45" s="3">
        <v>2000</v>
      </c>
      <c r="I45" t="s">
        <v>348</v>
      </c>
      <c r="J45" t="s">
        <v>265</v>
      </c>
      <c r="K45" s="2">
        <v>7755332211</v>
      </c>
      <c r="L45" t="s">
        <v>349</v>
      </c>
      <c r="M45" t="s">
        <v>267</v>
      </c>
      <c r="N45" s="4">
        <v>45356</v>
      </c>
      <c r="O45" s="4">
        <v>45379</v>
      </c>
      <c r="P45">
        <f>Procurement[[#This Row],[ Date Delivered ]]-Procurement[[#This Row],[ Date Ordered ]]</f>
        <v>23</v>
      </c>
      <c r="Q45" s="2">
        <v>24</v>
      </c>
      <c r="R45" s="3">
        <v>800</v>
      </c>
      <c r="S45" s="3">
        <v>600</v>
      </c>
      <c r="T45" s="3">
        <f>Procurement[[#This Row],[ Quantity ]]*Procurement[[#This Row],[ Unit Price (USD) ]]</f>
        <v>6000</v>
      </c>
      <c r="U45" s="3">
        <f>Procurement[[#This Row],[Total Procurement Cost]]+Procurement[[#This Row],[ Maintenance Cost (USD/year) ]]+Procurement[[#This Row],[ Installation Cost (USD) ]]</f>
        <v>7400</v>
      </c>
      <c r="V45" t="s">
        <v>205</v>
      </c>
      <c r="W45" t="str">
        <f>IF(Procurement[[#This Row],[Delivery Days]]&gt;0,"Late",IF(Procurement[[#This Row],[Delivery Days]]=0,"On Time","Early"))</f>
        <v>Late</v>
      </c>
      <c r="X45" t="str">
        <f>IF(Procurement[[#This Row],[ Warranty Period (Months) ]]&lt;24,"Short",IF(Procurement[[#This Row],[ Warranty Period (Months) ]]&lt;36,"Medium","Long"))</f>
        <v>Medium</v>
      </c>
    </row>
    <row r="46" spans="1:24" x14ac:dyDescent="0.3">
      <c r="A46" s="2">
        <v>45</v>
      </c>
      <c r="B46" t="s">
        <v>350</v>
      </c>
      <c r="C46" t="s">
        <v>351</v>
      </c>
      <c r="D46" t="s">
        <v>352</v>
      </c>
      <c r="E46" t="s">
        <v>166</v>
      </c>
      <c r="F46" t="s">
        <v>353</v>
      </c>
      <c r="G46" s="2">
        <v>1</v>
      </c>
      <c r="H46" s="3">
        <v>25000</v>
      </c>
      <c r="I46" t="s">
        <v>354</v>
      </c>
      <c r="J46" t="s">
        <v>169</v>
      </c>
      <c r="K46" s="2">
        <v>3322114455</v>
      </c>
      <c r="L46" t="s">
        <v>355</v>
      </c>
      <c r="M46" t="s">
        <v>136</v>
      </c>
      <c r="N46" s="4">
        <v>45350</v>
      </c>
      <c r="O46" s="4">
        <v>45376</v>
      </c>
      <c r="P46">
        <f>Procurement[[#This Row],[ Date Delivered ]]-Procurement[[#This Row],[ Date Ordered ]]</f>
        <v>26</v>
      </c>
      <c r="Q46" s="2">
        <v>36</v>
      </c>
      <c r="R46" s="3">
        <v>2000</v>
      </c>
      <c r="S46" s="3">
        <v>1200</v>
      </c>
      <c r="T46" s="3">
        <f>Procurement[[#This Row],[ Quantity ]]*Procurement[[#This Row],[ Unit Price (USD) ]]</f>
        <v>25000</v>
      </c>
      <c r="U46" s="3">
        <f>Procurement[[#This Row],[Total Procurement Cost]]+Procurement[[#This Row],[ Maintenance Cost (USD/year) ]]+Procurement[[#This Row],[ Installation Cost (USD) ]]</f>
        <v>28200</v>
      </c>
      <c r="V46" t="s">
        <v>28</v>
      </c>
      <c r="W46" t="str">
        <f>IF(Procurement[[#This Row],[Delivery Days]]&gt;0,"Late",IF(Procurement[[#This Row],[Delivery Days]]=0,"On Time","Early"))</f>
        <v>Late</v>
      </c>
      <c r="X46" t="str">
        <f>IF(Procurement[[#This Row],[ Warranty Period (Months) ]]&lt;24,"Short",IF(Procurement[[#This Row],[ Warranty Period (Months) ]]&lt;36,"Medium","Long"))</f>
        <v>Long</v>
      </c>
    </row>
    <row r="47" spans="1:24" x14ac:dyDescent="0.3">
      <c r="A47" s="2">
        <v>46</v>
      </c>
      <c r="B47" t="s">
        <v>356</v>
      </c>
      <c r="C47" t="s">
        <v>325</v>
      </c>
      <c r="D47" t="s">
        <v>357</v>
      </c>
      <c r="E47" t="s">
        <v>290</v>
      </c>
      <c r="F47" t="s">
        <v>358</v>
      </c>
      <c r="G47" s="2">
        <v>2</v>
      </c>
      <c r="H47" s="3">
        <v>15000</v>
      </c>
      <c r="I47" t="s">
        <v>292</v>
      </c>
      <c r="J47" t="s">
        <v>109</v>
      </c>
      <c r="K47" s="2">
        <v>6677889900</v>
      </c>
      <c r="L47" t="s">
        <v>293</v>
      </c>
      <c r="M47" t="s">
        <v>27</v>
      </c>
      <c r="N47" s="4">
        <v>45301</v>
      </c>
      <c r="O47" s="4">
        <v>45327</v>
      </c>
      <c r="P47">
        <f>Procurement[[#This Row],[ Date Delivered ]]-Procurement[[#This Row],[ Date Ordered ]]</f>
        <v>26</v>
      </c>
      <c r="Q47" s="2">
        <v>48</v>
      </c>
      <c r="R47" s="3">
        <v>1500</v>
      </c>
      <c r="S47" s="3">
        <v>800</v>
      </c>
      <c r="T47" s="3">
        <f>Procurement[[#This Row],[ Quantity ]]*Procurement[[#This Row],[ Unit Price (USD) ]]</f>
        <v>30000</v>
      </c>
      <c r="U47" s="3">
        <f>Procurement[[#This Row],[Total Procurement Cost]]+Procurement[[#This Row],[ Maintenance Cost (USD/year) ]]+Procurement[[#This Row],[ Installation Cost (USD) ]]</f>
        <v>32300</v>
      </c>
      <c r="V47" t="s">
        <v>57</v>
      </c>
      <c r="W47" t="str">
        <f>IF(Procurement[[#This Row],[Delivery Days]]&gt;0,"Late",IF(Procurement[[#This Row],[Delivery Days]]=0,"On Time","Early"))</f>
        <v>Late</v>
      </c>
      <c r="X47" t="str">
        <f>IF(Procurement[[#This Row],[ Warranty Period (Months) ]]&lt;24,"Short",IF(Procurement[[#This Row],[ Warranty Period (Months) ]]&lt;36,"Medium","Long"))</f>
        <v>Long</v>
      </c>
    </row>
    <row r="48" spans="1:24" x14ac:dyDescent="0.3">
      <c r="A48" s="2">
        <v>47</v>
      </c>
      <c r="B48" t="s">
        <v>359</v>
      </c>
      <c r="C48" t="s">
        <v>147</v>
      </c>
      <c r="D48" t="s">
        <v>360</v>
      </c>
      <c r="E48" t="s">
        <v>296</v>
      </c>
      <c r="F48" t="s">
        <v>361</v>
      </c>
      <c r="G48" s="2">
        <v>3</v>
      </c>
      <c r="H48" s="3">
        <v>1000</v>
      </c>
      <c r="I48" t="s">
        <v>298</v>
      </c>
      <c r="J48" t="s">
        <v>91</v>
      </c>
      <c r="K48" s="2">
        <v>7755332211</v>
      </c>
      <c r="L48" t="s">
        <v>299</v>
      </c>
      <c r="M48" t="s">
        <v>93</v>
      </c>
      <c r="N48" s="4">
        <v>45384</v>
      </c>
      <c r="O48" s="4">
        <v>45407</v>
      </c>
      <c r="P48">
        <f>Procurement[[#This Row],[ Date Delivered ]]-Procurement[[#This Row],[ Date Ordered ]]</f>
        <v>23</v>
      </c>
      <c r="Q48" s="2">
        <v>24</v>
      </c>
      <c r="R48" s="3">
        <v>500</v>
      </c>
      <c r="S48" s="3">
        <v>300</v>
      </c>
      <c r="T48" s="3">
        <f>Procurement[[#This Row],[ Quantity ]]*Procurement[[#This Row],[ Unit Price (USD) ]]</f>
        <v>3000</v>
      </c>
      <c r="U48" s="3">
        <f>Procurement[[#This Row],[Total Procurement Cost]]+Procurement[[#This Row],[ Maintenance Cost (USD/year) ]]+Procurement[[#This Row],[ Installation Cost (USD) ]]</f>
        <v>3800</v>
      </c>
      <c r="V48" t="s">
        <v>205</v>
      </c>
      <c r="W48" t="str">
        <f>IF(Procurement[[#This Row],[Delivery Days]]&gt;0,"Late",IF(Procurement[[#This Row],[Delivery Days]]=0,"On Time","Early"))</f>
        <v>Late</v>
      </c>
      <c r="X48" t="str">
        <f>IF(Procurement[[#This Row],[ Warranty Period (Months) ]]&lt;24,"Short",IF(Procurement[[#This Row],[ Warranty Period (Months) ]]&lt;36,"Medium","Long"))</f>
        <v>Medium</v>
      </c>
    </row>
    <row r="49" spans="1:24" x14ac:dyDescent="0.3">
      <c r="A49" s="2">
        <v>48</v>
      </c>
      <c r="B49" t="s">
        <v>362</v>
      </c>
      <c r="C49" t="s">
        <v>156</v>
      </c>
      <c r="D49" t="s">
        <v>363</v>
      </c>
      <c r="E49" t="s">
        <v>364</v>
      </c>
      <c r="F49" t="s">
        <v>365</v>
      </c>
      <c r="G49" s="2">
        <v>1</v>
      </c>
      <c r="H49" s="3">
        <v>40000</v>
      </c>
      <c r="I49" t="s">
        <v>366</v>
      </c>
      <c r="J49" t="s">
        <v>161</v>
      </c>
      <c r="K49" s="2">
        <v>3322114455</v>
      </c>
      <c r="L49" t="s">
        <v>367</v>
      </c>
      <c r="M49" t="s">
        <v>84</v>
      </c>
      <c r="N49" s="4">
        <v>45366</v>
      </c>
      <c r="O49" s="4">
        <v>45392</v>
      </c>
      <c r="P49">
        <f>Procurement[[#This Row],[ Date Delivered ]]-Procurement[[#This Row],[ Date Ordered ]]</f>
        <v>26</v>
      </c>
      <c r="Q49" s="2">
        <v>36</v>
      </c>
      <c r="R49" s="3">
        <v>3000</v>
      </c>
      <c r="S49" s="3">
        <v>2000</v>
      </c>
      <c r="T49" s="3">
        <f>Procurement[[#This Row],[ Quantity ]]*Procurement[[#This Row],[ Unit Price (USD) ]]</f>
        <v>40000</v>
      </c>
      <c r="U49" s="3">
        <f>Procurement[[#This Row],[Total Procurement Cost]]+Procurement[[#This Row],[ Maintenance Cost (USD/year) ]]+Procurement[[#This Row],[ Installation Cost (USD) ]]</f>
        <v>45000</v>
      </c>
      <c r="V49" t="s">
        <v>28</v>
      </c>
      <c r="W49" t="str">
        <f>IF(Procurement[[#This Row],[Delivery Days]]&gt;0,"Late",IF(Procurement[[#This Row],[Delivery Days]]=0,"On Time","Early"))</f>
        <v>Late</v>
      </c>
      <c r="X49" t="str">
        <f>IF(Procurement[[#This Row],[ Warranty Period (Months) ]]&lt;24,"Short",IF(Procurement[[#This Row],[ Warranty Period (Months) ]]&lt;36,"Medium","Long"))</f>
        <v>Long</v>
      </c>
    </row>
    <row r="50" spans="1:24" x14ac:dyDescent="0.3">
      <c r="A50" s="2">
        <v>49</v>
      </c>
      <c r="B50" t="s">
        <v>368</v>
      </c>
      <c r="C50" t="s">
        <v>147</v>
      </c>
      <c r="D50" t="s">
        <v>369</v>
      </c>
      <c r="E50" t="s">
        <v>308</v>
      </c>
      <c r="F50" t="s">
        <v>370</v>
      </c>
      <c r="G50" s="2">
        <v>1</v>
      </c>
      <c r="H50" s="3">
        <v>40000</v>
      </c>
      <c r="I50" t="s">
        <v>371</v>
      </c>
      <c r="J50" t="s">
        <v>117</v>
      </c>
      <c r="K50" s="2">
        <v>6677889900</v>
      </c>
      <c r="L50" t="s">
        <v>372</v>
      </c>
      <c r="M50" t="s">
        <v>27</v>
      </c>
      <c r="N50" s="4">
        <v>45342</v>
      </c>
      <c r="O50" s="4">
        <v>45369</v>
      </c>
      <c r="P50">
        <f>Procurement[[#This Row],[ Date Delivered ]]-Procurement[[#This Row],[ Date Ordered ]]</f>
        <v>27</v>
      </c>
      <c r="Q50" s="2">
        <v>48</v>
      </c>
      <c r="R50" s="3">
        <v>2500</v>
      </c>
      <c r="S50" s="3">
        <v>1500</v>
      </c>
      <c r="T50" s="3">
        <f>Procurement[[#This Row],[ Quantity ]]*Procurement[[#This Row],[ Unit Price (USD) ]]</f>
        <v>40000</v>
      </c>
      <c r="U50" s="3">
        <f>Procurement[[#This Row],[Total Procurement Cost]]+Procurement[[#This Row],[ Maintenance Cost (USD/year) ]]+Procurement[[#This Row],[ Installation Cost (USD) ]]</f>
        <v>44000</v>
      </c>
      <c r="V50" t="s">
        <v>28</v>
      </c>
      <c r="W50" t="str">
        <f>IF(Procurement[[#This Row],[Delivery Days]]&gt;0,"Late",IF(Procurement[[#This Row],[Delivery Days]]=0,"On Time","Early"))</f>
        <v>Late</v>
      </c>
      <c r="X50" t="str">
        <f>IF(Procurement[[#This Row],[ Warranty Period (Months) ]]&lt;24,"Short",IF(Procurement[[#This Row],[ Warranty Period (Months) ]]&lt;36,"Medium","Long"))</f>
        <v>Long</v>
      </c>
    </row>
    <row r="51" spans="1:24" x14ac:dyDescent="0.3">
      <c r="A51" s="2">
        <v>50</v>
      </c>
      <c r="B51" t="s">
        <v>373</v>
      </c>
      <c r="C51" t="s">
        <v>156</v>
      </c>
      <c r="D51" t="s">
        <v>374</v>
      </c>
      <c r="E51" t="s">
        <v>270</v>
      </c>
      <c r="F51" t="s">
        <v>375</v>
      </c>
      <c r="G51" s="2">
        <v>2</v>
      </c>
      <c r="H51" s="3">
        <v>3000</v>
      </c>
      <c r="I51" t="s">
        <v>376</v>
      </c>
      <c r="J51" t="s">
        <v>54</v>
      </c>
      <c r="K51" s="2">
        <v>7755332211</v>
      </c>
      <c r="L51" t="s">
        <v>377</v>
      </c>
      <c r="M51" t="s">
        <v>56</v>
      </c>
      <c r="N51" s="4">
        <v>45301</v>
      </c>
      <c r="O51" s="4">
        <v>45327</v>
      </c>
      <c r="P51">
        <f>Procurement[[#This Row],[ Date Delivered ]]-Procurement[[#This Row],[ Date Ordered ]]</f>
        <v>26</v>
      </c>
      <c r="Q51" s="2">
        <v>24</v>
      </c>
      <c r="R51" s="3">
        <v>1000</v>
      </c>
      <c r="S51" s="3">
        <v>500</v>
      </c>
      <c r="T51" s="3">
        <f>Procurement[[#This Row],[ Quantity ]]*Procurement[[#This Row],[ Unit Price (USD) ]]</f>
        <v>6000</v>
      </c>
      <c r="U51" s="3">
        <f>Procurement[[#This Row],[Total Procurement Cost]]+Procurement[[#This Row],[ Maintenance Cost (USD/year) ]]+Procurement[[#This Row],[ Installation Cost (USD) ]]</f>
        <v>7500</v>
      </c>
      <c r="V51" t="s">
        <v>47</v>
      </c>
      <c r="W51" t="str">
        <f>IF(Procurement[[#This Row],[Delivery Days]]&gt;0,"Late",IF(Procurement[[#This Row],[Delivery Days]]=0,"On Time","Early"))</f>
        <v>Late</v>
      </c>
      <c r="X51" t="str">
        <f>IF(Procurement[[#This Row],[ Warranty Period (Months) ]]&lt;24,"Short",IF(Procurement[[#This Row],[ Warranty Period (Months) ]]&lt;36,"Medium","Long"))</f>
        <v>Medium</v>
      </c>
    </row>
    <row r="52" spans="1:24" x14ac:dyDescent="0.3">
      <c r="A52" s="2">
        <v>51</v>
      </c>
      <c r="B52" t="s">
        <v>331</v>
      </c>
      <c r="C52" t="s">
        <v>378</v>
      </c>
      <c r="D52" t="s">
        <v>332</v>
      </c>
      <c r="E52" t="s">
        <v>333</v>
      </c>
      <c r="F52" t="s">
        <v>379</v>
      </c>
      <c r="G52" s="2">
        <v>1</v>
      </c>
      <c r="H52" s="3">
        <v>20000</v>
      </c>
      <c r="I52" t="s">
        <v>380</v>
      </c>
      <c r="J52" t="s">
        <v>44</v>
      </c>
      <c r="K52" s="2">
        <v>3322114455</v>
      </c>
      <c r="L52" t="s">
        <v>381</v>
      </c>
      <c r="M52" t="s">
        <v>46</v>
      </c>
      <c r="N52" s="4">
        <v>45392</v>
      </c>
      <c r="O52" s="4">
        <v>45417</v>
      </c>
      <c r="P52">
        <f>Procurement[[#This Row],[ Date Delivered ]]-Procurement[[#This Row],[ Date Ordered ]]</f>
        <v>25</v>
      </c>
      <c r="Q52" s="2">
        <v>36</v>
      </c>
      <c r="R52" s="3">
        <v>2500</v>
      </c>
      <c r="S52" s="3">
        <v>1500</v>
      </c>
      <c r="T52" s="3">
        <f>Procurement[[#This Row],[ Quantity ]]*Procurement[[#This Row],[ Unit Price (USD) ]]</f>
        <v>20000</v>
      </c>
      <c r="U52" s="3">
        <f>Procurement[[#This Row],[Total Procurement Cost]]+Procurement[[#This Row],[ Maintenance Cost (USD/year) ]]+Procurement[[#This Row],[ Installation Cost (USD) ]]</f>
        <v>24000</v>
      </c>
      <c r="V52" t="s">
        <v>28</v>
      </c>
      <c r="W52" t="str">
        <f>IF(Procurement[[#This Row],[Delivery Days]]&gt;0,"Late",IF(Procurement[[#This Row],[Delivery Days]]=0,"On Time","Early"))</f>
        <v>Late</v>
      </c>
      <c r="X52" t="str">
        <f>IF(Procurement[[#This Row],[ Warranty Period (Months) ]]&lt;24,"Short",IF(Procurement[[#This Row],[ Warranty Period (Months) ]]&lt;36,"Medium","Long"))</f>
        <v>Long</v>
      </c>
    </row>
    <row r="53" spans="1:24" x14ac:dyDescent="0.3">
      <c r="A53" s="2">
        <v>52</v>
      </c>
      <c r="B53" t="s">
        <v>274</v>
      </c>
      <c r="C53" t="s">
        <v>382</v>
      </c>
      <c r="D53" t="s">
        <v>276</v>
      </c>
      <c r="E53" t="s">
        <v>277</v>
      </c>
      <c r="F53" t="s">
        <v>383</v>
      </c>
      <c r="G53" s="2">
        <v>1</v>
      </c>
      <c r="H53" s="3">
        <v>70000</v>
      </c>
      <c r="I53" t="s">
        <v>384</v>
      </c>
      <c r="J53" t="s">
        <v>100</v>
      </c>
      <c r="K53" s="2">
        <v>6677889900</v>
      </c>
      <c r="L53" t="s">
        <v>385</v>
      </c>
      <c r="M53" t="s">
        <v>102</v>
      </c>
      <c r="N53" s="4">
        <v>45366</v>
      </c>
      <c r="O53" s="4">
        <v>45392</v>
      </c>
      <c r="P53">
        <f>Procurement[[#This Row],[ Date Delivered ]]-Procurement[[#This Row],[ Date Ordered ]]</f>
        <v>26</v>
      </c>
      <c r="Q53" s="2">
        <v>48</v>
      </c>
      <c r="R53" s="3">
        <v>3000</v>
      </c>
      <c r="S53" s="3">
        <v>2000</v>
      </c>
      <c r="T53" s="3">
        <f>Procurement[[#This Row],[ Quantity ]]*Procurement[[#This Row],[ Unit Price (USD) ]]</f>
        <v>70000</v>
      </c>
      <c r="U53" s="3">
        <f>Procurement[[#This Row],[Total Procurement Cost]]+Procurement[[#This Row],[ Maintenance Cost (USD/year) ]]+Procurement[[#This Row],[ Installation Cost (USD) ]]</f>
        <v>75000</v>
      </c>
      <c r="V53" t="s">
        <v>57</v>
      </c>
      <c r="W53" t="str">
        <f>IF(Procurement[[#This Row],[Delivery Days]]&gt;0,"Late",IF(Procurement[[#This Row],[Delivery Days]]=0,"On Time","Early"))</f>
        <v>Late</v>
      </c>
      <c r="X53" t="str">
        <f>IF(Procurement[[#This Row],[ Warranty Period (Months) ]]&lt;24,"Short",IF(Procurement[[#This Row],[ Warranty Period (Months) ]]&lt;36,"Medium","Long"))</f>
        <v>Long</v>
      </c>
    </row>
    <row r="54" spans="1:24" x14ac:dyDescent="0.3">
      <c r="A54" s="2">
        <v>53</v>
      </c>
      <c r="B54" t="s">
        <v>287</v>
      </c>
      <c r="C54" t="s">
        <v>386</v>
      </c>
      <c r="D54" t="s">
        <v>289</v>
      </c>
      <c r="E54" t="s">
        <v>290</v>
      </c>
      <c r="F54" t="s">
        <v>387</v>
      </c>
      <c r="G54" s="2">
        <v>1</v>
      </c>
      <c r="H54" s="3">
        <v>30000</v>
      </c>
      <c r="I54" t="s">
        <v>292</v>
      </c>
      <c r="J54" t="s">
        <v>109</v>
      </c>
      <c r="K54" s="2">
        <v>7755332211</v>
      </c>
      <c r="L54" t="s">
        <v>293</v>
      </c>
      <c r="M54" t="s">
        <v>27</v>
      </c>
      <c r="N54" s="4">
        <v>45350</v>
      </c>
      <c r="O54" s="4">
        <v>45376</v>
      </c>
      <c r="P54">
        <f>Procurement[[#This Row],[ Date Delivered ]]-Procurement[[#This Row],[ Date Ordered ]]</f>
        <v>26</v>
      </c>
      <c r="Q54" s="2">
        <v>36</v>
      </c>
      <c r="R54" s="3">
        <v>1500</v>
      </c>
      <c r="S54" s="3">
        <v>800</v>
      </c>
      <c r="T54" s="3">
        <f>Procurement[[#This Row],[ Quantity ]]*Procurement[[#This Row],[ Unit Price (USD) ]]</f>
        <v>30000</v>
      </c>
      <c r="U54" s="3">
        <f>Procurement[[#This Row],[Total Procurement Cost]]+Procurement[[#This Row],[ Maintenance Cost (USD/year) ]]+Procurement[[#This Row],[ Installation Cost (USD) ]]</f>
        <v>32300</v>
      </c>
      <c r="V54" t="s">
        <v>57</v>
      </c>
      <c r="W54" t="str">
        <f>IF(Procurement[[#This Row],[Delivery Days]]&gt;0,"Late",IF(Procurement[[#This Row],[Delivery Days]]=0,"On Time","Early"))</f>
        <v>Late</v>
      </c>
      <c r="X54" t="str">
        <f>IF(Procurement[[#This Row],[ Warranty Period (Months) ]]&lt;24,"Short",IF(Procurement[[#This Row],[ Warranty Period (Months) ]]&lt;36,"Medium","Long"))</f>
        <v>Long</v>
      </c>
    </row>
    <row r="55" spans="1:24" x14ac:dyDescent="0.3">
      <c r="A55" s="2">
        <v>54</v>
      </c>
      <c r="B55" t="s">
        <v>294</v>
      </c>
      <c r="C55" t="s">
        <v>388</v>
      </c>
      <c r="D55" t="s">
        <v>295</v>
      </c>
      <c r="E55" t="s">
        <v>296</v>
      </c>
      <c r="F55" t="s">
        <v>389</v>
      </c>
      <c r="G55" s="2">
        <v>1</v>
      </c>
      <c r="H55" s="3">
        <v>5000</v>
      </c>
      <c r="I55" t="s">
        <v>390</v>
      </c>
      <c r="J55" t="s">
        <v>143</v>
      </c>
      <c r="K55" s="2">
        <v>9988776655</v>
      </c>
      <c r="L55" t="s">
        <v>391</v>
      </c>
      <c r="M55" t="s">
        <v>145</v>
      </c>
      <c r="N55" s="4">
        <v>45301</v>
      </c>
      <c r="O55" s="4">
        <v>45327</v>
      </c>
      <c r="P55">
        <f>Procurement[[#This Row],[ Date Delivered ]]-Procurement[[#This Row],[ Date Ordered ]]</f>
        <v>26</v>
      </c>
      <c r="Q55" s="2">
        <v>24</v>
      </c>
      <c r="R55" s="3">
        <v>800</v>
      </c>
      <c r="S55" s="3">
        <v>600</v>
      </c>
      <c r="T55" s="3">
        <f>Procurement[[#This Row],[ Quantity ]]*Procurement[[#This Row],[ Unit Price (USD) ]]</f>
        <v>5000</v>
      </c>
      <c r="U55" s="3">
        <f>Procurement[[#This Row],[Total Procurement Cost]]+Procurement[[#This Row],[ Maintenance Cost (USD/year) ]]+Procurement[[#This Row],[ Installation Cost (USD) ]]</f>
        <v>6400</v>
      </c>
      <c r="V55" t="s">
        <v>28</v>
      </c>
      <c r="W55" t="str">
        <f>IF(Procurement[[#This Row],[Delivery Days]]&gt;0,"Late",IF(Procurement[[#This Row],[Delivery Days]]=0,"On Time","Early"))</f>
        <v>Late</v>
      </c>
      <c r="X55" t="str">
        <f>IF(Procurement[[#This Row],[ Warranty Period (Months) ]]&lt;24,"Short",IF(Procurement[[#This Row],[ Warranty Period (Months) ]]&lt;36,"Medium","Long"))</f>
        <v>Medium</v>
      </c>
    </row>
    <row r="56" spans="1:24" x14ac:dyDescent="0.3">
      <c r="A56" s="2">
        <v>55</v>
      </c>
      <c r="B56" t="s">
        <v>300</v>
      </c>
      <c r="C56" t="s">
        <v>392</v>
      </c>
      <c r="D56" t="s">
        <v>301</v>
      </c>
      <c r="E56" t="s">
        <v>302</v>
      </c>
      <c r="F56" t="s">
        <v>159</v>
      </c>
      <c r="G56" s="2">
        <v>2</v>
      </c>
      <c r="H56" s="3">
        <v>10000</v>
      </c>
      <c r="I56" t="s">
        <v>304</v>
      </c>
      <c r="J56" t="s">
        <v>161</v>
      </c>
      <c r="K56" s="2">
        <v>6677889900</v>
      </c>
      <c r="L56" t="s">
        <v>305</v>
      </c>
      <c r="M56" t="s">
        <v>84</v>
      </c>
      <c r="N56" s="4">
        <v>45384</v>
      </c>
      <c r="O56" s="4">
        <v>45407</v>
      </c>
      <c r="P56">
        <f>Procurement[[#This Row],[ Date Delivered ]]-Procurement[[#This Row],[ Date Ordered ]]</f>
        <v>23</v>
      </c>
      <c r="Q56" s="2">
        <v>48</v>
      </c>
      <c r="R56" s="3">
        <v>2000</v>
      </c>
      <c r="S56" s="3">
        <v>1200</v>
      </c>
      <c r="T56" s="3">
        <f>Procurement[[#This Row],[ Quantity ]]*Procurement[[#This Row],[ Unit Price (USD) ]]</f>
        <v>20000</v>
      </c>
      <c r="U56" s="3">
        <f>Procurement[[#This Row],[Total Procurement Cost]]+Procurement[[#This Row],[ Maintenance Cost (USD/year) ]]+Procurement[[#This Row],[ Installation Cost (USD) ]]</f>
        <v>23200</v>
      </c>
      <c r="V56" t="s">
        <v>28</v>
      </c>
      <c r="W56" t="str">
        <f>IF(Procurement[[#This Row],[Delivery Days]]&gt;0,"Late",IF(Procurement[[#This Row],[Delivery Days]]=0,"On Time","Early"))</f>
        <v>Late</v>
      </c>
      <c r="X56" t="str">
        <f>IF(Procurement[[#This Row],[ Warranty Period (Months) ]]&lt;24,"Short",IF(Procurement[[#This Row],[ Warranty Period (Months) ]]&lt;36,"Medium","Long"))</f>
        <v>Long</v>
      </c>
    </row>
    <row r="57" spans="1:24" x14ac:dyDescent="0.3">
      <c r="A57" s="2">
        <v>56</v>
      </c>
      <c r="B57" t="s">
        <v>306</v>
      </c>
      <c r="C57" t="s">
        <v>338</v>
      </c>
      <c r="D57" t="s">
        <v>307</v>
      </c>
      <c r="E57" t="s">
        <v>308</v>
      </c>
      <c r="F57" t="s">
        <v>393</v>
      </c>
      <c r="G57" s="2">
        <v>1</v>
      </c>
      <c r="H57" s="3">
        <v>8000</v>
      </c>
      <c r="I57" t="s">
        <v>310</v>
      </c>
      <c r="J57" t="s">
        <v>117</v>
      </c>
      <c r="K57" s="2">
        <v>7755332211</v>
      </c>
      <c r="L57" t="s">
        <v>311</v>
      </c>
      <c r="M57" t="s">
        <v>27</v>
      </c>
      <c r="N57" s="4">
        <v>45366</v>
      </c>
      <c r="O57" s="4">
        <v>45392</v>
      </c>
      <c r="P57">
        <f>Procurement[[#This Row],[ Date Delivered ]]-Procurement[[#This Row],[ Date Ordered ]]</f>
        <v>26</v>
      </c>
      <c r="Q57" s="2">
        <v>36</v>
      </c>
      <c r="R57" s="3">
        <v>1000</v>
      </c>
      <c r="S57" s="3">
        <v>500</v>
      </c>
      <c r="T57" s="3">
        <f>Procurement[[#This Row],[ Quantity ]]*Procurement[[#This Row],[ Unit Price (USD) ]]</f>
        <v>8000</v>
      </c>
      <c r="U57" s="3">
        <f>Procurement[[#This Row],[Total Procurement Cost]]+Procurement[[#This Row],[ Maintenance Cost (USD/year) ]]+Procurement[[#This Row],[ Installation Cost (USD) ]]</f>
        <v>9500</v>
      </c>
      <c r="V57" t="s">
        <v>47</v>
      </c>
      <c r="W57" t="str">
        <f>IF(Procurement[[#This Row],[Delivery Days]]&gt;0,"Late",IF(Procurement[[#This Row],[Delivery Days]]=0,"On Time","Early"))</f>
        <v>Late</v>
      </c>
      <c r="X57" t="str">
        <f>IF(Procurement[[#This Row],[ Warranty Period (Months) ]]&lt;24,"Short",IF(Procurement[[#This Row],[ Warranty Period (Months) ]]&lt;36,"Medium","Long"))</f>
        <v>Long</v>
      </c>
    </row>
    <row r="58" spans="1:24" x14ac:dyDescent="0.3">
      <c r="A58" s="2">
        <v>57</v>
      </c>
      <c r="B58" t="s">
        <v>312</v>
      </c>
      <c r="C58" t="s">
        <v>392</v>
      </c>
      <c r="D58" t="s">
        <v>313</v>
      </c>
      <c r="E58" t="s">
        <v>314</v>
      </c>
      <c r="F58" t="s">
        <v>394</v>
      </c>
      <c r="G58" s="2">
        <v>1</v>
      </c>
      <c r="H58" s="3">
        <v>250000</v>
      </c>
      <c r="I58" t="s">
        <v>395</v>
      </c>
      <c r="J58" t="s">
        <v>73</v>
      </c>
      <c r="K58" s="2">
        <v>3322114455</v>
      </c>
      <c r="L58" t="s">
        <v>396</v>
      </c>
      <c r="M58" t="s">
        <v>75</v>
      </c>
      <c r="N58" s="4">
        <v>45350</v>
      </c>
      <c r="O58" s="4">
        <v>45376</v>
      </c>
      <c r="P58">
        <f>Procurement[[#This Row],[ Date Delivered ]]-Procurement[[#This Row],[ Date Ordered ]]</f>
        <v>26</v>
      </c>
      <c r="Q58" s="2">
        <v>48</v>
      </c>
      <c r="R58" s="3">
        <v>5000</v>
      </c>
      <c r="S58" s="3">
        <v>3000</v>
      </c>
      <c r="T58" s="3">
        <f>Procurement[[#This Row],[ Quantity ]]*Procurement[[#This Row],[ Unit Price (USD) ]]</f>
        <v>250000</v>
      </c>
      <c r="U58" s="3">
        <f>Procurement[[#This Row],[Total Procurement Cost]]+Procurement[[#This Row],[ Maintenance Cost (USD/year) ]]+Procurement[[#This Row],[ Installation Cost (USD) ]]</f>
        <v>258000</v>
      </c>
      <c r="V58" t="s">
        <v>28</v>
      </c>
      <c r="W58" t="str">
        <f>IF(Procurement[[#This Row],[Delivery Days]]&gt;0,"Late",IF(Procurement[[#This Row],[Delivery Days]]=0,"On Time","Early"))</f>
        <v>Late</v>
      </c>
      <c r="X58" t="str">
        <f>IF(Procurement[[#This Row],[ Warranty Period (Months) ]]&lt;24,"Short",IF(Procurement[[#This Row],[ Warranty Period (Months) ]]&lt;36,"Medium","Long"))</f>
        <v>Long</v>
      </c>
    </row>
    <row r="59" spans="1:24" x14ac:dyDescent="0.3">
      <c r="A59" s="2">
        <v>58</v>
      </c>
      <c r="B59" t="s">
        <v>318</v>
      </c>
      <c r="C59" t="s">
        <v>397</v>
      </c>
      <c r="D59" t="s">
        <v>319</v>
      </c>
      <c r="E59" t="s">
        <v>320</v>
      </c>
      <c r="F59" t="s">
        <v>398</v>
      </c>
      <c r="G59" s="2">
        <v>2</v>
      </c>
      <c r="H59" s="3">
        <v>8000</v>
      </c>
      <c r="I59" t="s">
        <v>322</v>
      </c>
      <c r="J59" t="s">
        <v>219</v>
      </c>
      <c r="K59" s="2">
        <v>6677889900</v>
      </c>
      <c r="L59" t="s">
        <v>323</v>
      </c>
      <c r="M59" t="s">
        <v>221</v>
      </c>
      <c r="N59" s="4">
        <v>45301</v>
      </c>
      <c r="O59" s="4">
        <v>45327</v>
      </c>
      <c r="P59">
        <f>Procurement[[#This Row],[ Date Delivered ]]-Procurement[[#This Row],[ Date Ordered ]]</f>
        <v>26</v>
      </c>
      <c r="Q59" s="2">
        <v>24</v>
      </c>
      <c r="R59" s="3">
        <v>1000</v>
      </c>
      <c r="S59" s="3">
        <v>500</v>
      </c>
      <c r="T59" s="3">
        <f>Procurement[[#This Row],[ Quantity ]]*Procurement[[#This Row],[ Unit Price (USD) ]]</f>
        <v>16000</v>
      </c>
      <c r="U59" s="3">
        <f>Procurement[[#This Row],[Total Procurement Cost]]+Procurement[[#This Row],[ Maintenance Cost (USD/year) ]]+Procurement[[#This Row],[ Installation Cost (USD) ]]</f>
        <v>17500</v>
      </c>
      <c r="V59" t="s">
        <v>47</v>
      </c>
      <c r="W59" t="str">
        <f>IF(Procurement[[#This Row],[Delivery Days]]&gt;0,"Late",IF(Procurement[[#This Row],[Delivery Days]]=0,"On Time","Early"))</f>
        <v>Late</v>
      </c>
      <c r="X59" t="str">
        <f>IF(Procurement[[#This Row],[ Warranty Period (Months) ]]&lt;24,"Short",IF(Procurement[[#This Row],[ Warranty Period (Months) ]]&lt;36,"Medium","Long"))</f>
        <v>Medium</v>
      </c>
    </row>
    <row r="60" spans="1:24" x14ac:dyDescent="0.3">
      <c r="A60" s="2">
        <v>59</v>
      </c>
      <c r="B60" t="s">
        <v>324</v>
      </c>
      <c r="C60" t="s">
        <v>399</v>
      </c>
      <c r="D60" t="s">
        <v>326</v>
      </c>
      <c r="E60" t="s">
        <v>327</v>
      </c>
      <c r="F60" t="s">
        <v>400</v>
      </c>
      <c r="G60" s="2">
        <v>1</v>
      </c>
      <c r="H60" s="3">
        <v>40000</v>
      </c>
      <c r="I60" t="s">
        <v>401</v>
      </c>
      <c r="J60" t="s">
        <v>91</v>
      </c>
      <c r="K60" s="2">
        <v>7755332211</v>
      </c>
      <c r="L60" t="s">
        <v>402</v>
      </c>
      <c r="M60" t="s">
        <v>93</v>
      </c>
      <c r="N60" s="4">
        <v>45384</v>
      </c>
      <c r="O60" s="4">
        <v>45407</v>
      </c>
      <c r="P60">
        <f>Procurement[[#This Row],[ Date Delivered ]]-Procurement[[#This Row],[ Date Ordered ]]</f>
        <v>23</v>
      </c>
      <c r="Q60" s="2">
        <v>36</v>
      </c>
      <c r="R60" s="3">
        <v>1500</v>
      </c>
      <c r="S60" s="3">
        <v>800</v>
      </c>
      <c r="T60" s="3">
        <f>Procurement[[#This Row],[ Quantity ]]*Procurement[[#This Row],[ Unit Price (USD) ]]</f>
        <v>40000</v>
      </c>
      <c r="U60" s="3">
        <f>Procurement[[#This Row],[Total Procurement Cost]]+Procurement[[#This Row],[ Maintenance Cost (USD/year) ]]+Procurement[[#This Row],[ Installation Cost (USD) ]]</f>
        <v>42300</v>
      </c>
      <c r="V60" t="s">
        <v>57</v>
      </c>
      <c r="W60" t="str">
        <f>IF(Procurement[[#This Row],[Delivery Days]]&gt;0,"Late",IF(Procurement[[#This Row],[Delivery Days]]=0,"On Time","Early"))</f>
        <v>Late</v>
      </c>
      <c r="X60" t="str">
        <f>IF(Procurement[[#This Row],[ Warranty Period (Months) ]]&lt;24,"Short",IF(Procurement[[#This Row],[ Warranty Period (Months) ]]&lt;36,"Medium","Long"))</f>
        <v>Long</v>
      </c>
    </row>
    <row r="61" spans="1:24" x14ac:dyDescent="0.3">
      <c r="A61" s="2">
        <v>60</v>
      </c>
      <c r="B61" t="s">
        <v>331</v>
      </c>
      <c r="C61" t="s">
        <v>378</v>
      </c>
      <c r="D61" t="s">
        <v>332</v>
      </c>
      <c r="E61" t="s">
        <v>333</v>
      </c>
      <c r="F61" t="s">
        <v>403</v>
      </c>
      <c r="G61" s="2">
        <v>1</v>
      </c>
      <c r="H61" s="3">
        <v>30000</v>
      </c>
      <c r="I61" t="s">
        <v>335</v>
      </c>
      <c r="J61" t="s">
        <v>44</v>
      </c>
      <c r="K61" s="2">
        <v>3322114455</v>
      </c>
      <c r="L61" t="s">
        <v>336</v>
      </c>
      <c r="M61" t="s">
        <v>46</v>
      </c>
      <c r="N61" s="4">
        <v>45356</v>
      </c>
      <c r="O61" s="4">
        <v>45379</v>
      </c>
      <c r="P61">
        <f>Procurement[[#This Row],[ Date Delivered ]]-Procurement[[#This Row],[ Date Ordered ]]</f>
        <v>23</v>
      </c>
      <c r="Q61" s="2">
        <v>48</v>
      </c>
      <c r="R61" s="3">
        <v>2000</v>
      </c>
      <c r="S61" s="3">
        <v>1200</v>
      </c>
      <c r="T61" s="3">
        <f>Procurement[[#This Row],[ Quantity ]]*Procurement[[#This Row],[ Unit Price (USD) ]]</f>
        <v>30000</v>
      </c>
      <c r="U61" s="3">
        <f>Procurement[[#This Row],[Total Procurement Cost]]+Procurement[[#This Row],[ Maintenance Cost (USD/year) ]]+Procurement[[#This Row],[ Installation Cost (USD) ]]</f>
        <v>33200</v>
      </c>
      <c r="V61" t="s">
        <v>28</v>
      </c>
      <c r="W61" t="str">
        <f>IF(Procurement[[#This Row],[Delivery Days]]&gt;0,"Late",IF(Procurement[[#This Row],[Delivery Days]]=0,"On Time","Early"))</f>
        <v>Late</v>
      </c>
      <c r="X61" t="str">
        <f>IF(Procurement[[#This Row],[ Warranty Period (Months) ]]&lt;24,"Short",IF(Procurement[[#This Row],[ Warranty Period (Months) ]]&lt;36,"Medium","Long"))</f>
        <v>Long</v>
      </c>
    </row>
    <row r="62" spans="1:24" x14ac:dyDescent="0.3">
      <c r="A62" s="2">
        <v>61</v>
      </c>
      <c r="B62" t="s">
        <v>368</v>
      </c>
      <c r="C62" t="s">
        <v>397</v>
      </c>
      <c r="D62" t="s">
        <v>369</v>
      </c>
      <c r="E62" t="s">
        <v>340</v>
      </c>
      <c r="F62" t="s">
        <v>404</v>
      </c>
      <c r="G62" s="2">
        <v>1</v>
      </c>
      <c r="H62" s="3">
        <v>40000</v>
      </c>
      <c r="I62" t="s">
        <v>405</v>
      </c>
      <c r="J62" t="s">
        <v>64</v>
      </c>
      <c r="K62" s="2">
        <v>6677889900</v>
      </c>
      <c r="L62" t="s">
        <v>406</v>
      </c>
      <c r="M62" t="s">
        <v>66</v>
      </c>
      <c r="N62" s="4">
        <v>45342</v>
      </c>
      <c r="O62" s="4">
        <v>45369</v>
      </c>
      <c r="P62">
        <f>Procurement[[#This Row],[ Date Delivered ]]-Procurement[[#This Row],[ Date Ordered ]]</f>
        <v>27</v>
      </c>
      <c r="Q62" s="2">
        <v>36</v>
      </c>
      <c r="R62" s="3">
        <v>2000</v>
      </c>
      <c r="S62" s="3">
        <v>1200</v>
      </c>
      <c r="T62" s="3">
        <f>Procurement[[#This Row],[ Quantity ]]*Procurement[[#This Row],[ Unit Price (USD) ]]</f>
        <v>40000</v>
      </c>
      <c r="U62" s="3">
        <f>Procurement[[#This Row],[Total Procurement Cost]]+Procurement[[#This Row],[ Maintenance Cost (USD/year) ]]+Procurement[[#This Row],[ Installation Cost (USD) ]]</f>
        <v>43200</v>
      </c>
      <c r="V62" t="s">
        <v>28</v>
      </c>
      <c r="W62" t="str">
        <f>IF(Procurement[[#This Row],[Delivery Days]]&gt;0,"Late",IF(Procurement[[#This Row],[Delivery Days]]=0,"On Time","Early"))</f>
        <v>Late</v>
      </c>
      <c r="X62" t="str">
        <f>IF(Procurement[[#This Row],[ Warranty Period (Months) ]]&lt;24,"Short",IF(Procurement[[#This Row],[ Warranty Period (Months) ]]&lt;36,"Medium","Long"))</f>
        <v>Long</v>
      </c>
    </row>
    <row r="63" spans="1:24" x14ac:dyDescent="0.3">
      <c r="A63" s="2">
        <v>62</v>
      </c>
      <c r="B63" t="s">
        <v>362</v>
      </c>
      <c r="C63" t="s">
        <v>407</v>
      </c>
      <c r="D63" t="s">
        <v>363</v>
      </c>
      <c r="E63" t="s">
        <v>364</v>
      </c>
      <c r="F63" t="s">
        <v>408</v>
      </c>
      <c r="G63" s="2">
        <v>1</v>
      </c>
      <c r="H63" s="3">
        <v>500000</v>
      </c>
      <c r="I63" t="s">
        <v>409</v>
      </c>
      <c r="J63" t="s">
        <v>35</v>
      </c>
      <c r="K63" s="2">
        <v>7755332211</v>
      </c>
      <c r="L63" t="s">
        <v>410</v>
      </c>
      <c r="M63" t="s">
        <v>37</v>
      </c>
      <c r="N63" s="4">
        <v>45301</v>
      </c>
      <c r="O63" s="4">
        <v>45327</v>
      </c>
      <c r="P63">
        <f>Procurement[[#This Row],[ Date Delivered ]]-Procurement[[#This Row],[ Date Ordered ]]</f>
        <v>26</v>
      </c>
      <c r="Q63" s="2">
        <v>48</v>
      </c>
      <c r="R63" s="3">
        <v>5000</v>
      </c>
      <c r="S63" s="3">
        <v>3000</v>
      </c>
      <c r="T63" s="3">
        <f>Procurement[[#This Row],[ Quantity ]]*Procurement[[#This Row],[ Unit Price (USD) ]]</f>
        <v>500000</v>
      </c>
      <c r="U63" s="3">
        <f>Procurement[[#This Row],[Total Procurement Cost]]+Procurement[[#This Row],[ Maintenance Cost (USD/year) ]]+Procurement[[#This Row],[ Installation Cost (USD) ]]</f>
        <v>508000</v>
      </c>
      <c r="V63" t="s">
        <v>28</v>
      </c>
      <c r="W63" t="str">
        <f>IF(Procurement[[#This Row],[Delivery Days]]&gt;0,"Late",IF(Procurement[[#This Row],[Delivery Days]]=0,"On Time","Early"))</f>
        <v>Late</v>
      </c>
      <c r="X63" t="str">
        <f>IF(Procurement[[#This Row],[ Warranty Period (Months) ]]&lt;24,"Short",IF(Procurement[[#This Row],[ Warranty Period (Months) ]]&lt;36,"Medium","Long"))</f>
        <v>Long</v>
      </c>
    </row>
    <row r="64" spans="1:24" x14ac:dyDescent="0.3">
      <c r="A64" s="2">
        <v>63</v>
      </c>
      <c r="B64" t="s">
        <v>359</v>
      </c>
      <c r="C64" t="s">
        <v>397</v>
      </c>
      <c r="D64" t="s">
        <v>360</v>
      </c>
      <c r="E64" t="s">
        <v>296</v>
      </c>
      <c r="F64" t="s">
        <v>411</v>
      </c>
      <c r="G64" s="2">
        <v>1</v>
      </c>
      <c r="H64" s="3">
        <v>15000</v>
      </c>
      <c r="I64" t="s">
        <v>412</v>
      </c>
      <c r="J64" t="s">
        <v>44</v>
      </c>
      <c r="K64" s="2">
        <v>3322114455</v>
      </c>
      <c r="L64" t="s">
        <v>413</v>
      </c>
      <c r="M64" t="s">
        <v>46</v>
      </c>
      <c r="N64" s="4">
        <v>45392</v>
      </c>
      <c r="O64" s="4">
        <v>45417</v>
      </c>
      <c r="P64">
        <f>Procurement[[#This Row],[ Date Delivered ]]-Procurement[[#This Row],[ Date Ordered ]]</f>
        <v>25</v>
      </c>
      <c r="Q64" s="2">
        <v>36</v>
      </c>
      <c r="R64" s="3">
        <v>2500</v>
      </c>
      <c r="S64" s="3">
        <v>1500</v>
      </c>
      <c r="T64" s="3">
        <f>Procurement[[#This Row],[ Quantity ]]*Procurement[[#This Row],[ Unit Price (USD) ]]</f>
        <v>15000</v>
      </c>
      <c r="U64" s="3">
        <f>Procurement[[#This Row],[Total Procurement Cost]]+Procurement[[#This Row],[ Maintenance Cost (USD/year) ]]+Procurement[[#This Row],[ Installation Cost (USD) ]]</f>
        <v>19000</v>
      </c>
      <c r="V64" t="s">
        <v>28</v>
      </c>
      <c r="W64" t="str">
        <f>IF(Procurement[[#This Row],[Delivery Days]]&gt;0,"Late",IF(Procurement[[#This Row],[Delivery Days]]=0,"On Time","Early"))</f>
        <v>Late</v>
      </c>
      <c r="X64" t="str">
        <f>IF(Procurement[[#This Row],[ Warranty Period (Months) ]]&lt;24,"Short",IF(Procurement[[#This Row],[ Warranty Period (Months) ]]&lt;36,"Medium","Long"))</f>
        <v>Long</v>
      </c>
    </row>
    <row r="65" spans="1:24" x14ac:dyDescent="0.3">
      <c r="A65" s="2">
        <v>64</v>
      </c>
      <c r="B65" t="s">
        <v>344</v>
      </c>
      <c r="C65" t="s">
        <v>407</v>
      </c>
      <c r="D65" t="s">
        <v>345</v>
      </c>
      <c r="E65" t="s">
        <v>346</v>
      </c>
      <c r="F65" t="s">
        <v>414</v>
      </c>
      <c r="G65" s="2">
        <v>3</v>
      </c>
      <c r="H65" s="3">
        <v>2000</v>
      </c>
      <c r="I65" t="s">
        <v>348</v>
      </c>
      <c r="J65" t="s">
        <v>265</v>
      </c>
      <c r="K65" s="2">
        <v>6677889900</v>
      </c>
      <c r="L65" t="s">
        <v>349</v>
      </c>
      <c r="M65" t="s">
        <v>267</v>
      </c>
      <c r="N65" s="4">
        <v>45366</v>
      </c>
      <c r="O65" s="4">
        <v>45392</v>
      </c>
      <c r="P65">
        <f>Procurement[[#This Row],[ Date Delivered ]]-Procurement[[#This Row],[ Date Ordered ]]</f>
        <v>26</v>
      </c>
      <c r="Q65" s="2">
        <v>24</v>
      </c>
      <c r="R65" s="3">
        <v>800</v>
      </c>
      <c r="S65" s="3">
        <v>600</v>
      </c>
      <c r="T65" s="3">
        <f>Procurement[[#This Row],[ Quantity ]]*Procurement[[#This Row],[ Unit Price (USD) ]]</f>
        <v>6000</v>
      </c>
      <c r="U65" s="3">
        <f>Procurement[[#This Row],[Total Procurement Cost]]+Procurement[[#This Row],[ Maintenance Cost (USD/year) ]]+Procurement[[#This Row],[ Installation Cost (USD) ]]</f>
        <v>7400</v>
      </c>
      <c r="V65" t="s">
        <v>205</v>
      </c>
      <c r="W65" t="str">
        <f>IF(Procurement[[#This Row],[Delivery Days]]&gt;0,"Late",IF(Procurement[[#This Row],[Delivery Days]]=0,"On Time","Early"))</f>
        <v>Late</v>
      </c>
      <c r="X65" t="str">
        <f>IF(Procurement[[#This Row],[ Warranty Period (Months) ]]&lt;24,"Short",IF(Procurement[[#This Row],[ Warranty Period (Months) ]]&lt;36,"Medium","Long"))</f>
        <v>Medium</v>
      </c>
    </row>
    <row r="66" spans="1:24" x14ac:dyDescent="0.3">
      <c r="A66" s="2">
        <v>65</v>
      </c>
      <c r="B66" t="s">
        <v>350</v>
      </c>
      <c r="C66" t="s">
        <v>415</v>
      </c>
      <c r="D66" t="s">
        <v>352</v>
      </c>
      <c r="E66" t="s">
        <v>166</v>
      </c>
      <c r="F66" t="s">
        <v>416</v>
      </c>
      <c r="G66" s="2">
        <v>1</v>
      </c>
      <c r="H66" s="3">
        <v>25000</v>
      </c>
      <c r="I66" t="s">
        <v>354</v>
      </c>
      <c r="J66" t="s">
        <v>169</v>
      </c>
      <c r="K66" s="2">
        <v>7755332211</v>
      </c>
      <c r="L66" t="s">
        <v>355</v>
      </c>
      <c r="M66" t="s">
        <v>136</v>
      </c>
      <c r="N66" s="4">
        <v>45350</v>
      </c>
      <c r="O66" s="4">
        <v>45376</v>
      </c>
      <c r="P66">
        <f>Procurement[[#This Row],[ Date Delivered ]]-Procurement[[#This Row],[ Date Ordered ]]</f>
        <v>26</v>
      </c>
      <c r="Q66" s="2">
        <v>36</v>
      </c>
      <c r="R66" s="3">
        <v>2000</v>
      </c>
      <c r="S66" s="3">
        <v>1200</v>
      </c>
      <c r="T66" s="3">
        <f>Procurement[[#This Row],[ Quantity ]]*Procurement[[#This Row],[ Unit Price (USD) ]]</f>
        <v>25000</v>
      </c>
      <c r="U66" s="3">
        <f>Procurement[[#This Row],[Total Procurement Cost]]+Procurement[[#This Row],[ Maintenance Cost (USD/year) ]]+Procurement[[#This Row],[ Installation Cost (USD) ]]</f>
        <v>28200</v>
      </c>
      <c r="V66" t="s">
        <v>28</v>
      </c>
      <c r="W66" t="str">
        <f>IF(Procurement[[#This Row],[Delivery Days]]&gt;0,"Late",IF(Procurement[[#This Row],[Delivery Days]]=0,"On Time","Early"))</f>
        <v>Late</v>
      </c>
      <c r="X66" t="str">
        <f>IF(Procurement[[#This Row],[ Warranty Period (Months) ]]&lt;24,"Short",IF(Procurement[[#This Row],[ Warranty Period (Months) ]]&lt;36,"Medium","Long"))</f>
        <v>Long</v>
      </c>
    </row>
    <row r="67" spans="1:24" x14ac:dyDescent="0.3">
      <c r="A67" s="2">
        <v>66</v>
      </c>
      <c r="B67" t="s">
        <v>356</v>
      </c>
      <c r="C67" t="s">
        <v>399</v>
      </c>
      <c r="D67" t="s">
        <v>357</v>
      </c>
      <c r="E67" t="s">
        <v>290</v>
      </c>
      <c r="F67" t="s">
        <v>210</v>
      </c>
      <c r="G67" s="2">
        <v>2</v>
      </c>
      <c r="H67" s="3">
        <v>12000</v>
      </c>
      <c r="I67" t="s">
        <v>292</v>
      </c>
      <c r="J67" t="s">
        <v>109</v>
      </c>
      <c r="K67" s="2">
        <v>3322114455</v>
      </c>
      <c r="L67" t="s">
        <v>293</v>
      </c>
      <c r="M67" t="s">
        <v>27</v>
      </c>
      <c r="N67" s="4">
        <v>45301</v>
      </c>
      <c r="O67" s="4">
        <v>45327</v>
      </c>
      <c r="P67">
        <f>Procurement[[#This Row],[ Date Delivered ]]-Procurement[[#This Row],[ Date Ordered ]]</f>
        <v>26</v>
      </c>
      <c r="Q67" s="2">
        <v>48</v>
      </c>
      <c r="R67" s="3">
        <v>1500</v>
      </c>
      <c r="S67" s="3">
        <v>800</v>
      </c>
      <c r="T67" s="3">
        <f>Procurement[[#This Row],[ Quantity ]]*Procurement[[#This Row],[ Unit Price (USD) ]]</f>
        <v>24000</v>
      </c>
      <c r="U67" s="3">
        <f>Procurement[[#This Row],[Total Procurement Cost]]+Procurement[[#This Row],[ Maintenance Cost (USD/year) ]]+Procurement[[#This Row],[ Installation Cost (USD) ]]</f>
        <v>26300</v>
      </c>
      <c r="V67" t="s">
        <v>57</v>
      </c>
      <c r="W67" t="str">
        <f>IF(Procurement[[#This Row],[Delivery Days]]&gt;0,"Late",IF(Procurement[[#This Row],[Delivery Days]]=0,"On Time","Early"))</f>
        <v>Late</v>
      </c>
      <c r="X67" t="str">
        <f>IF(Procurement[[#This Row],[ Warranty Period (Months) ]]&lt;24,"Short",IF(Procurement[[#This Row],[ Warranty Period (Months) ]]&lt;36,"Medium","Long"))</f>
        <v>Long</v>
      </c>
    </row>
    <row r="68" spans="1:24" x14ac:dyDescent="0.3">
      <c r="A68" s="2">
        <v>67</v>
      </c>
      <c r="B68" t="s">
        <v>359</v>
      </c>
      <c r="C68" t="s">
        <v>397</v>
      </c>
      <c r="D68" t="s">
        <v>360</v>
      </c>
      <c r="E68" t="s">
        <v>296</v>
      </c>
      <c r="F68" t="s">
        <v>417</v>
      </c>
      <c r="G68" s="2">
        <v>3</v>
      </c>
      <c r="H68" s="3">
        <v>1000</v>
      </c>
      <c r="I68" t="s">
        <v>298</v>
      </c>
      <c r="J68" t="s">
        <v>91</v>
      </c>
      <c r="K68" s="2">
        <v>7755332211</v>
      </c>
      <c r="L68" t="s">
        <v>299</v>
      </c>
      <c r="M68" t="s">
        <v>93</v>
      </c>
      <c r="N68" s="4">
        <v>45384</v>
      </c>
      <c r="O68" s="4">
        <v>45407</v>
      </c>
      <c r="P68">
        <f>Procurement[[#This Row],[ Date Delivered ]]-Procurement[[#This Row],[ Date Ordered ]]</f>
        <v>23</v>
      </c>
      <c r="Q68" s="2">
        <v>24</v>
      </c>
      <c r="R68" s="3">
        <v>500</v>
      </c>
      <c r="S68" s="3">
        <v>300</v>
      </c>
      <c r="T68" s="3">
        <f>Procurement[[#This Row],[ Quantity ]]*Procurement[[#This Row],[ Unit Price (USD) ]]</f>
        <v>3000</v>
      </c>
      <c r="U68" s="3">
        <f>Procurement[[#This Row],[Total Procurement Cost]]+Procurement[[#This Row],[ Maintenance Cost (USD/year) ]]+Procurement[[#This Row],[ Installation Cost (USD) ]]</f>
        <v>3800</v>
      </c>
      <c r="V68" t="s">
        <v>205</v>
      </c>
      <c r="W68" t="str">
        <f>IF(Procurement[[#This Row],[Delivery Days]]&gt;0,"Late",IF(Procurement[[#This Row],[Delivery Days]]=0,"On Time","Early"))</f>
        <v>Late</v>
      </c>
      <c r="X68" t="str">
        <f>IF(Procurement[[#This Row],[ Warranty Period (Months) ]]&lt;24,"Short",IF(Procurement[[#This Row],[ Warranty Period (Months) ]]&lt;36,"Medium","Long"))</f>
        <v>Medium</v>
      </c>
    </row>
    <row r="69" spans="1:24" x14ac:dyDescent="0.3">
      <c r="A69" s="2">
        <v>68</v>
      </c>
      <c r="B69" t="s">
        <v>362</v>
      </c>
      <c r="C69" t="s">
        <v>407</v>
      </c>
      <c r="D69" t="s">
        <v>363</v>
      </c>
      <c r="E69" t="s">
        <v>364</v>
      </c>
      <c r="F69" t="s">
        <v>418</v>
      </c>
      <c r="G69" s="2">
        <v>1</v>
      </c>
      <c r="H69" s="3">
        <v>40000</v>
      </c>
      <c r="I69" t="s">
        <v>366</v>
      </c>
      <c r="J69" t="s">
        <v>161</v>
      </c>
      <c r="K69" s="2">
        <v>3322114455</v>
      </c>
      <c r="L69" t="s">
        <v>367</v>
      </c>
      <c r="M69" t="s">
        <v>84</v>
      </c>
      <c r="N69" s="4">
        <v>45366</v>
      </c>
      <c r="O69" s="4">
        <v>45392</v>
      </c>
      <c r="P69">
        <f>Procurement[[#This Row],[ Date Delivered ]]-Procurement[[#This Row],[ Date Ordered ]]</f>
        <v>26</v>
      </c>
      <c r="Q69" s="2">
        <v>36</v>
      </c>
      <c r="R69" s="3">
        <v>3000</v>
      </c>
      <c r="S69" s="3">
        <v>2000</v>
      </c>
      <c r="T69" s="3">
        <f>Procurement[[#This Row],[ Quantity ]]*Procurement[[#This Row],[ Unit Price (USD) ]]</f>
        <v>40000</v>
      </c>
      <c r="U69" s="3">
        <f>Procurement[[#This Row],[Total Procurement Cost]]+Procurement[[#This Row],[ Maintenance Cost (USD/year) ]]+Procurement[[#This Row],[ Installation Cost (USD) ]]</f>
        <v>45000</v>
      </c>
      <c r="V69" t="s">
        <v>28</v>
      </c>
      <c r="W69" t="str">
        <f>IF(Procurement[[#This Row],[Delivery Days]]&gt;0,"Late",IF(Procurement[[#This Row],[Delivery Days]]=0,"On Time","Early"))</f>
        <v>Late</v>
      </c>
      <c r="X69" t="str">
        <f>IF(Procurement[[#This Row],[ Warranty Period (Months) ]]&lt;24,"Short",IF(Procurement[[#This Row],[ Warranty Period (Months) ]]&lt;36,"Medium","Long"))</f>
        <v>Long</v>
      </c>
    </row>
    <row r="70" spans="1:24" x14ac:dyDescent="0.3">
      <c r="A70" s="2">
        <v>69</v>
      </c>
      <c r="B70" t="s">
        <v>368</v>
      </c>
      <c r="C70" t="s">
        <v>397</v>
      </c>
      <c r="D70" t="s">
        <v>369</v>
      </c>
      <c r="E70" t="s">
        <v>308</v>
      </c>
      <c r="F70" t="s">
        <v>419</v>
      </c>
      <c r="G70" s="2">
        <v>1</v>
      </c>
      <c r="H70" s="3">
        <v>40000</v>
      </c>
      <c r="I70" t="s">
        <v>371</v>
      </c>
      <c r="J70" t="s">
        <v>117</v>
      </c>
      <c r="K70" s="2">
        <v>6677889900</v>
      </c>
      <c r="L70" t="s">
        <v>372</v>
      </c>
      <c r="M70" t="s">
        <v>27</v>
      </c>
      <c r="N70" s="4">
        <v>45342</v>
      </c>
      <c r="O70" s="4">
        <v>45369</v>
      </c>
      <c r="P70">
        <f>Procurement[[#This Row],[ Date Delivered ]]-Procurement[[#This Row],[ Date Ordered ]]</f>
        <v>27</v>
      </c>
      <c r="Q70" s="2">
        <v>48</v>
      </c>
      <c r="R70" s="3">
        <v>2500</v>
      </c>
      <c r="S70" s="3">
        <v>1500</v>
      </c>
      <c r="T70" s="3">
        <f>Procurement[[#This Row],[ Quantity ]]*Procurement[[#This Row],[ Unit Price (USD) ]]</f>
        <v>40000</v>
      </c>
      <c r="U70" s="3">
        <f>Procurement[[#This Row],[Total Procurement Cost]]+Procurement[[#This Row],[ Maintenance Cost (USD/year) ]]+Procurement[[#This Row],[ Installation Cost (USD) ]]</f>
        <v>44000</v>
      </c>
      <c r="V70" t="s">
        <v>28</v>
      </c>
      <c r="W70" t="str">
        <f>IF(Procurement[[#This Row],[Delivery Days]]&gt;0,"Late",IF(Procurement[[#This Row],[Delivery Days]]=0,"On Time","Early"))</f>
        <v>Late</v>
      </c>
      <c r="X70" t="str">
        <f>IF(Procurement[[#This Row],[ Warranty Period (Months) ]]&lt;24,"Short",IF(Procurement[[#This Row],[ Warranty Period (Months) ]]&lt;36,"Medium","Long"))</f>
        <v>Long</v>
      </c>
    </row>
    <row r="71" spans="1:24" x14ac:dyDescent="0.3">
      <c r="A71" s="2">
        <v>70</v>
      </c>
      <c r="B71" t="s">
        <v>373</v>
      </c>
      <c r="C71" t="s">
        <v>407</v>
      </c>
      <c r="D71" t="s">
        <v>374</v>
      </c>
      <c r="E71" t="s">
        <v>270</v>
      </c>
      <c r="F71" t="s">
        <v>420</v>
      </c>
      <c r="G71" s="2">
        <v>2</v>
      </c>
      <c r="H71" s="3">
        <v>3000</v>
      </c>
      <c r="I71" t="s">
        <v>376</v>
      </c>
      <c r="J71" t="s">
        <v>54</v>
      </c>
      <c r="K71" s="2">
        <v>7755332211</v>
      </c>
      <c r="L71" t="s">
        <v>377</v>
      </c>
      <c r="M71" t="s">
        <v>56</v>
      </c>
      <c r="N71" s="4">
        <v>45301</v>
      </c>
      <c r="O71" s="4">
        <v>45327</v>
      </c>
      <c r="P71">
        <f>Procurement[[#This Row],[ Date Delivered ]]-Procurement[[#This Row],[ Date Ordered ]]</f>
        <v>26</v>
      </c>
      <c r="Q71" s="2">
        <v>24</v>
      </c>
      <c r="R71" s="3">
        <v>1000</v>
      </c>
      <c r="S71" s="3">
        <v>500</v>
      </c>
      <c r="T71" s="3">
        <f>Procurement[[#This Row],[ Quantity ]]*Procurement[[#This Row],[ Unit Price (USD) ]]</f>
        <v>6000</v>
      </c>
      <c r="U71" s="3">
        <f>Procurement[[#This Row],[Total Procurement Cost]]+Procurement[[#This Row],[ Maintenance Cost (USD/year) ]]+Procurement[[#This Row],[ Installation Cost (USD) ]]</f>
        <v>7500</v>
      </c>
      <c r="V71" t="s">
        <v>47</v>
      </c>
      <c r="W71" t="str">
        <f>IF(Procurement[[#This Row],[Delivery Days]]&gt;0,"Late",IF(Procurement[[#This Row],[Delivery Days]]=0,"On Time","Early"))</f>
        <v>Late</v>
      </c>
      <c r="X71" t="str">
        <f>IF(Procurement[[#This Row],[ Warranty Period (Months) ]]&lt;24,"Short",IF(Procurement[[#This Row],[ Warranty Period (Months) ]]&lt;36,"Medium","Long"))</f>
        <v>Medium</v>
      </c>
    </row>
    <row r="72" spans="1:24" x14ac:dyDescent="0.3">
      <c r="A72" s="2">
        <v>71</v>
      </c>
      <c r="B72" t="s">
        <v>421</v>
      </c>
      <c r="C72" t="s">
        <v>422</v>
      </c>
      <c r="D72" t="s">
        <v>423</v>
      </c>
      <c r="E72" t="s">
        <v>340</v>
      </c>
      <c r="F72" t="s">
        <v>400</v>
      </c>
      <c r="G72" s="2">
        <v>1</v>
      </c>
      <c r="H72" s="3">
        <v>25000</v>
      </c>
      <c r="I72" t="s">
        <v>401</v>
      </c>
      <c r="J72" t="s">
        <v>91</v>
      </c>
      <c r="K72" s="2">
        <v>7755332211</v>
      </c>
      <c r="L72" t="s">
        <v>402</v>
      </c>
      <c r="M72" t="s">
        <v>93</v>
      </c>
      <c r="N72" s="4">
        <v>45384</v>
      </c>
      <c r="O72" s="4">
        <v>45407</v>
      </c>
      <c r="P72">
        <f>Procurement[[#This Row],[ Date Delivered ]]-Procurement[[#This Row],[ Date Ordered ]]</f>
        <v>23</v>
      </c>
      <c r="Q72" s="2">
        <v>36</v>
      </c>
      <c r="R72" s="3">
        <v>1500</v>
      </c>
      <c r="S72" s="3">
        <v>800</v>
      </c>
      <c r="T72" s="3">
        <f>Procurement[[#This Row],[ Quantity ]]*Procurement[[#This Row],[ Unit Price (USD) ]]</f>
        <v>25000</v>
      </c>
      <c r="U72" s="3">
        <f>Procurement[[#This Row],[Total Procurement Cost]]+Procurement[[#This Row],[ Maintenance Cost (USD/year) ]]+Procurement[[#This Row],[ Installation Cost (USD) ]]</f>
        <v>27300</v>
      </c>
      <c r="V72" t="s">
        <v>57</v>
      </c>
      <c r="W72" t="str">
        <f>IF(Procurement[[#This Row],[Delivery Days]]&gt;0,"Late",IF(Procurement[[#This Row],[Delivery Days]]=0,"On Time","Early"))</f>
        <v>Late</v>
      </c>
      <c r="X72" t="str">
        <f>IF(Procurement[[#This Row],[ Warranty Period (Months) ]]&lt;24,"Short",IF(Procurement[[#This Row],[ Warranty Period (Months) ]]&lt;36,"Medium","Long"))</f>
        <v>Long</v>
      </c>
    </row>
    <row r="73" spans="1:24" x14ac:dyDescent="0.3">
      <c r="A73" s="2">
        <v>72</v>
      </c>
      <c r="B73" t="s">
        <v>287</v>
      </c>
      <c r="C73" t="s">
        <v>386</v>
      </c>
      <c r="D73" t="s">
        <v>289</v>
      </c>
      <c r="E73" t="s">
        <v>290</v>
      </c>
      <c r="F73" t="s">
        <v>424</v>
      </c>
      <c r="G73" s="2">
        <v>1</v>
      </c>
      <c r="H73" s="3">
        <v>5000</v>
      </c>
      <c r="I73" t="s">
        <v>425</v>
      </c>
      <c r="J73" t="s">
        <v>73</v>
      </c>
      <c r="K73" s="2">
        <v>3322114455</v>
      </c>
      <c r="L73" t="s">
        <v>426</v>
      </c>
      <c r="M73" t="s">
        <v>75</v>
      </c>
      <c r="N73" s="4">
        <v>45356</v>
      </c>
      <c r="O73" s="4">
        <v>45379</v>
      </c>
      <c r="P73">
        <f>Procurement[[#This Row],[ Date Delivered ]]-Procurement[[#This Row],[ Date Ordered ]]</f>
        <v>23</v>
      </c>
      <c r="Q73" s="2">
        <v>48</v>
      </c>
      <c r="R73" s="3">
        <v>1000</v>
      </c>
      <c r="S73" s="3">
        <v>700</v>
      </c>
      <c r="T73" s="3">
        <f>Procurement[[#This Row],[ Quantity ]]*Procurement[[#This Row],[ Unit Price (USD) ]]</f>
        <v>5000</v>
      </c>
      <c r="U73" s="3">
        <f>Procurement[[#This Row],[Total Procurement Cost]]+Procurement[[#This Row],[ Maintenance Cost (USD/year) ]]+Procurement[[#This Row],[ Installation Cost (USD) ]]</f>
        <v>6700</v>
      </c>
      <c r="V73" t="s">
        <v>28</v>
      </c>
      <c r="W73" t="str">
        <f>IF(Procurement[[#This Row],[Delivery Days]]&gt;0,"Late",IF(Procurement[[#This Row],[Delivery Days]]=0,"On Time","Early"))</f>
        <v>Late</v>
      </c>
      <c r="X73" t="str">
        <f>IF(Procurement[[#This Row],[ Warranty Period (Months) ]]&lt;24,"Short",IF(Procurement[[#This Row],[ Warranty Period (Months) ]]&lt;36,"Medium","Long"))</f>
        <v>Long</v>
      </c>
    </row>
    <row r="74" spans="1:24" x14ac:dyDescent="0.3">
      <c r="A74" s="2">
        <v>73</v>
      </c>
      <c r="B74" t="s">
        <v>294</v>
      </c>
      <c r="C74" t="s">
        <v>388</v>
      </c>
      <c r="D74" t="s">
        <v>295</v>
      </c>
      <c r="E74" t="s">
        <v>333</v>
      </c>
      <c r="F74" t="s">
        <v>427</v>
      </c>
      <c r="G74" s="2">
        <v>1</v>
      </c>
      <c r="H74" s="3">
        <v>8000</v>
      </c>
      <c r="I74" t="s">
        <v>335</v>
      </c>
      <c r="J74" t="s">
        <v>44</v>
      </c>
      <c r="K74" s="2">
        <v>7755332211</v>
      </c>
      <c r="L74" t="s">
        <v>336</v>
      </c>
      <c r="M74" t="s">
        <v>46</v>
      </c>
      <c r="N74" s="4">
        <v>45350</v>
      </c>
      <c r="O74" s="4">
        <v>45376</v>
      </c>
      <c r="P74">
        <f>Procurement[[#This Row],[ Date Delivered ]]-Procurement[[#This Row],[ Date Ordered ]]</f>
        <v>26</v>
      </c>
      <c r="Q74" s="2">
        <v>36</v>
      </c>
      <c r="R74" s="3">
        <v>2000</v>
      </c>
      <c r="S74" s="3">
        <v>1200</v>
      </c>
      <c r="T74" s="3">
        <f>Procurement[[#This Row],[ Quantity ]]*Procurement[[#This Row],[ Unit Price (USD) ]]</f>
        <v>8000</v>
      </c>
      <c r="U74" s="3">
        <f>Procurement[[#This Row],[Total Procurement Cost]]+Procurement[[#This Row],[ Maintenance Cost (USD/year) ]]+Procurement[[#This Row],[ Installation Cost (USD) ]]</f>
        <v>11200</v>
      </c>
      <c r="V74" t="s">
        <v>28</v>
      </c>
      <c r="W74" t="str">
        <f>IF(Procurement[[#This Row],[Delivery Days]]&gt;0,"Late",IF(Procurement[[#This Row],[Delivery Days]]=0,"On Time","Early"))</f>
        <v>Late</v>
      </c>
      <c r="X74" t="str">
        <f>IF(Procurement[[#This Row],[ Warranty Period (Months) ]]&lt;24,"Short",IF(Procurement[[#This Row],[ Warranty Period (Months) ]]&lt;36,"Medium","Long"))</f>
        <v>Long</v>
      </c>
    </row>
    <row r="75" spans="1:24" x14ac:dyDescent="0.3">
      <c r="A75" s="2">
        <v>74</v>
      </c>
      <c r="B75" t="s">
        <v>300</v>
      </c>
      <c r="C75" t="s">
        <v>392</v>
      </c>
      <c r="D75" t="s">
        <v>301</v>
      </c>
      <c r="E75" t="s">
        <v>320</v>
      </c>
      <c r="F75" t="s">
        <v>428</v>
      </c>
      <c r="G75" s="2">
        <v>2</v>
      </c>
      <c r="H75" s="3">
        <v>5000</v>
      </c>
      <c r="I75" t="s">
        <v>322</v>
      </c>
      <c r="J75" t="s">
        <v>219</v>
      </c>
      <c r="K75" s="2">
        <v>6677889900</v>
      </c>
      <c r="L75" t="s">
        <v>323</v>
      </c>
      <c r="M75" t="s">
        <v>221</v>
      </c>
      <c r="N75" s="4">
        <v>45301</v>
      </c>
      <c r="O75" s="4">
        <v>45327</v>
      </c>
      <c r="P75">
        <f>Procurement[[#This Row],[ Date Delivered ]]-Procurement[[#This Row],[ Date Ordered ]]</f>
        <v>26</v>
      </c>
      <c r="Q75" s="2">
        <v>24</v>
      </c>
      <c r="R75" s="3">
        <v>800</v>
      </c>
      <c r="S75" s="3">
        <v>500</v>
      </c>
      <c r="T75" s="3">
        <f>Procurement[[#This Row],[ Quantity ]]*Procurement[[#This Row],[ Unit Price (USD) ]]</f>
        <v>10000</v>
      </c>
      <c r="U75" s="3">
        <f>Procurement[[#This Row],[Total Procurement Cost]]+Procurement[[#This Row],[ Maintenance Cost (USD/year) ]]+Procurement[[#This Row],[ Installation Cost (USD) ]]</f>
        <v>11300</v>
      </c>
      <c r="V75" t="s">
        <v>47</v>
      </c>
      <c r="W75" t="str">
        <f>IF(Procurement[[#This Row],[Delivery Days]]&gt;0,"Late",IF(Procurement[[#This Row],[Delivery Days]]=0,"On Time","Early"))</f>
        <v>Late</v>
      </c>
      <c r="X75" t="str">
        <f>IF(Procurement[[#This Row],[ Warranty Period (Months) ]]&lt;24,"Short",IF(Procurement[[#This Row],[ Warranty Period (Months) ]]&lt;36,"Medium","Long"))</f>
        <v>Medium</v>
      </c>
    </row>
    <row r="76" spans="1:24" x14ac:dyDescent="0.3">
      <c r="A76" s="2">
        <v>75</v>
      </c>
      <c r="B76" t="s">
        <v>306</v>
      </c>
      <c r="C76" t="s">
        <v>338</v>
      </c>
      <c r="D76" t="s">
        <v>307</v>
      </c>
      <c r="E76" t="s">
        <v>327</v>
      </c>
      <c r="F76" t="s">
        <v>429</v>
      </c>
      <c r="G76" s="2">
        <v>1</v>
      </c>
      <c r="H76" s="3">
        <v>15000</v>
      </c>
      <c r="I76" t="s">
        <v>329</v>
      </c>
      <c r="J76" t="s">
        <v>91</v>
      </c>
      <c r="K76" s="2">
        <v>7755332211</v>
      </c>
      <c r="L76" t="s">
        <v>330</v>
      </c>
      <c r="M76" t="s">
        <v>93</v>
      </c>
      <c r="N76" s="4">
        <v>45384</v>
      </c>
      <c r="O76" s="4">
        <v>45407</v>
      </c>
      <c r="P76">
        <f>Procurement[[#This Row],[ Date Delivered ]]-Procurement[[#This Row],[ Date Ordered ]]</f>
        <v>23</v>
      </c>
      <c r="Q76" s="2">
        <v>36</v>
      </c>
      <c r="R76" s="3">
        <v>2000</v>
      </c>
      <c r="S76" s="3">
        <v>1200</v>
      </c>
      <c r="T76" s="3">
        <f>Procurement[[#This Row],[ Quantity ]]*Procurement[[#This Row],[ Unit Price (USD) ]]</f>
        <v>15000</v>
      </c>
      <c r="U76" s="3">
        <f>Procurement[[#This Row],[Total Procurement Cost]]+Procurement[[#This Row],[ Maintenance Cost (USD/year) ]]+Procurement[[#This Row],[ Installation Cost (USD) ]]</f>
        <v>18200</v>
      </c>
      <c r="V76" t="s">
        <v>57</v>
      </c>
      <c r="W76" t="str">
        <f>IF(Procurement[[#This Row],[Delivery Days]]&gt;0,"Late",IF(Procurement[[#This Row],[Delivery Days]]=0,"On Time","Early"))</f>
        <v>Late</v>
      </c>
      <c r="X76" t="str">
        <f>IF(Procurement[[#This Row],[ Warranty Period (Months) ]]&lt;24,"Short",IF(Procurement[[#This Row],[ Warranty Period (Months) ]]&lt;36,"Medium","Long"))</f>
        <v>Long</v>
      </c>
    </row>
    <row r="77" spans="1:24" x14ac:dyDescent="0.3">
      <c r="A77" s="2">
        <v>76</v>
      </c>
      <c r="B77" t="s">
        <v>312</v>
      </c>
      <c r="C77" t="s">
        <v>392</v>
      </c>
      <c r="D77" t="s">
        <v>313</v>
      </c>
      <c r="E77" t="s">
        <v>314</v>
      </c>
      <c r="F77" t="s">
        <v>430</v>
      </c>
      <c r="G77" s="2">
        <v>1</v>
      </c>
      <c r="H77" s="3">
        <v>15000</v>
      </c>
      <c r="I77" t="s">
        <v>431</v>
      </c>
      <c r="J77" t="s">
        <v>54</v>
      </c>
      <c r="K77" s="2">
        <v>3322114455</v>
      </c>
      <c r="L77" t="s">
        <v>432</v>
      </c>
      <c r="M77" t="s">
        <v>56</v>
      </c>
      <c r="N77" s="4">
        <v>45366</v>
      </c>
      <c r="O77" s="4">
        <v>45392</v>
      </c>
      <c r="P77">
        <f>Procurement[[#This Row],[ Date Delivered ]]-Procurement[[#This Row],[ Date Ordered ]]</f>
        <v>26</v>
      </c>
      <c r="Q77" s="2">
        <v>48</v>
      </c>
      <c r="R77" s="3">
        <v>1800</v>
      </c>
      <c r="S77" s="3">
        <v>1000</v>
      </c>
      <c r="T77" s="3">
        <f>Procurement[[#This Row],[ Quantity ]]*Procurement[[#This Row],[ Unit Price (USD) ]]</f>
        <v>15000</v>
      </c>
      <c r="U77" s="3">
        <f>Procurement[[#This Row],[Total Procurement Cost]]+Procurement[[#This Row],[ Maintenance Cost (USD/year) ]]+Procurement[[#This Row],[ Installation Cost (USD) ]]</f>
        <v>17800</v>
      </c>
      <c r="V77" t="s">
        <v>47</v>
      </c>
      <c r="W77" t="str">
        <f>IF(Procurement[[#This Row],[Delivery Days]]&gt;0,"Late",IF(Procurement[[#This Row],[Delivery Days]]=0,"On Time","Early"))</f>
        <v>Late</v>
      </c>
      <c r="X77" t="str">
        <f>IF(Procurement[[#This Row],[ Warranty Period (Months) ]]&lt;24,"Short",IF(Procurement[[#This Row],[ Warranty Period (Months) ]]&lt;36,"Medium","Long"))</f>
        <v>Long</v>
      </c>
    </row>
    <row r="78" spans="1:24" x14ac:dyDescent="0.3">
      <c r="A78" s="2">
        <v>77</v>
      </c>
      <c r="B78" t="s">
        <v>318</v>
      </c>
      <c r="C78" t="s">
        <v>397</v>
      </c>
      <c r="D78" t="s">
        <v>319</v>
      </c>
      <c r="E78" t="s">
        <v>340</v>
      </c>
      <c r="F78" t="s">
        <v>408</v>
      </c>
      <c r="G78" s="2">
        <v>1</v>
      </c>
      <c r="H78" s="3">
        <v>500000</v>
      </c>
      <c r="I78" t="s">
        <v>409</v>
      </c>
      <c r="J78" t="s">
        <v>35</v>
      </c>
      <c r="K78" s="2">
        <v>7755332211</v>
      </c>
      <c r="L78" t="s">
        <v>410</v>
      </c>
      <c r="M78" t="s">
        <v>37</v>
      </c>
      <c r="N78" s="4">
        <v>45350</v>
      </c>
      <c r="O78" s="4">
        <v>45376</v>
      </c>
      <c r="P78">
        <f>Procurement[[#This Row],[ Date Delivered ]]-Procurement[[#This Row],[ Date Ordered ]]</f>
        <v>26</v>
      </c>
      <c r="Q78" s="2">
        <v>48</v>
      </c>
      <c r="R78" s="3">
        <v>5000</v>
      </c>
      <c r="S78" s="3">
        <v>3000</v>
      </c>
      <c r="T78" s="3">
        <f>Procurement[[#This Row],[ Quantity ]]*Procurement[[#This Row],[ Unit Price (USD) ]]</f>
        <v>500000</v>
      </c>
      <c r="U78" s="3">
        <f>Procurement[[#This Row],[Total Procurement Cost]]+Procurement[[#This Row],[ Maintenance Cost (USD/year) ]]+Procurement[[#This Row],[ Installation Cost (USD) ]]</f>
        <v>508000</v>
      </c>
      <c r="V78" t="s">
        <v>28</v>
      </c>
      <c r="W78" t="str">
        <f>IF(Procurement[[#This Row],[Delivery Days]]&gt;0,"Late",IF(Procurement[[#This Row],[Delivery Days]]=0,"On Time","Early"))</f>
        <v>Late</v>
      </c>
      <c r="X78" t="str">
        <f>IF(Procurement[[#This Row],[ Warranty Period (Months) ]]&lt;24,"Short",IF(Procurement[[#This Row],[ Warranty Period (Months) ]]&lt;36,"Medium","Long"))</f>
        <v>Long</v>
      </c>
    </row>
    <row r="79" spans="1:24" x14ac:dyDescent="0.3">
      <c r="A79" s="2">
        <v>78</v>
      </c>
      <c r="B79" t="s">
        <v>324</v>
      </c>
      <c r="C79" t="s">
        <v>399</v>
      </c>
      <c r="D79" t="s">
        <v>326</v>
      </c>
      <c r="E79" t="s">
        <v>333</v>
      </c>
      <c r="F79" t="s">
        <v>433</v>
      </c>
      <c r="G79" s="2">
        <v>2</v>
      </c>
      <c r="H79" s="3">
        <v>10000</v>
      </c>
      <c r="I79" t="s">
        <v>335</v>
      </c>
      <c r="J79" t="s">
        <v>44</v>
      </c>
      <c r="K79" s="2">
        <v>3322114455</v>
      </c>
      <c r="L79" t="s">
        <v>336</v>
      </c>
      <c r="M79" t="s">
        <v>46</v>
      </c>
      <c r="N79" s="4">
        <v>45301</v>
      </c>
      <c r="O79" s="4">
        <v>45327</v>
      </c>
      <c r="P79">
        <f>Procurement[[#This Row],[ Date Delivered ]]-Procurement[[#This Row],[ Date Ordered ]]</f>
        <v>26</v>
      </c>
      <c r="Q79" s="2">
        <v>24</v>
      </c>
      <c r="R79" s="3">
        <v>1500</v>
      </c>
      <c r="S79" s="3">
        <v>800</v>
      </c>
      <c r="T79" s="3">
        <f>Procurement[[#This Row],[ Quantity ]]*Procurement[[#This Row],[ Unit Price (USD) ]]</f>
        <v>20000</v>
      </c>
      <c r="U79" s="3">
        <f>Procurement[[#This Row],[Total Procurement Cost]]+Procurement[[#This Row],[ Maintenance Cost (USD/year) ]]+Procurement[[#This Row],[ Installation Cost (USD) ]]</f>
        <v>22300</v>
      </c>
      <c r="V79" t="s">
        <v>57</v>
      </c>
      <c r="W79" t="str">
        <f>IF(Procurement[[#This Row],[Delivery Days]]&gt;0,"Late",IF(Procurement[[#This Row],[Delivery Days]]=0,"On Time","Early"))</f>
        <v>Late</v>
      </c>
      <c r="X79" t="str">
        <f>IF(Procurement[[#This Row],[ Warranty Period (Months) ]]&lt;24,"Short",IF(Procurement[[#This Row],[ Warranty Period (Months) ]]&lt;36,"Medium","Long"))</f>
        <v>Medium</v>
      </c>
    </row>
    <row r="80" spans="1:24" x14ac:dyDescent="0.3">
      <c r="A80" s="2">
        <v>79</v>
      </c>
      <c r="B80" t="s">
        <v>331</v>
      </c>
      <c r="C80" t="s">
        <v>378</v>
      </c>
      <c r="D80" t="s">
        <v>332</v>
      </c>
      <c r="E80" t="s">
        <v>290</v>
      </c>
      <c r="F80" t="s">
        <v>107</v>
      </c>
      <c r="G80" s="2">
        <v>1</v>
      </c>
      <c r="H80" s="3">
        <v>30000</v>
      </c>
      <c r="I80" t="s">
        <v>292</v>
      </c>
      <c r="J80" t="s">
        <v>109</v>
      </c>
      <c r="K80" s="2">
        <v>7755332211</v>
      </c>
      <c r="L80" t="s">
        <v>293</v>
      </c>
      <c r="M80" t="s">
        <v>27</v>
      </c>
      <c r="N80" s="4">
        <v>45384</v>
      </c>
      <c r="O80" s="4">
        <v>45407</v>
      </c>
      <c r="P80">
        <f>Procurement[[#This Row],[ Date Delivered ]]-Procurement[[#This Row],[ Date Ordered ]]</f>
        <v>23</v>
      </c>
      <c r="Q80" s="2">
        <v>36</v>
      </c>
      <c r="R80" s="3">
        <v>1500</v>
      </c>
      <c r="S80" s="3">
        <v>800</v>
      </c>
      <c r="T80" s="3">
        <f>Procurement[[#This Row],[ Quantity ]]*Procurement[[#This Row],[ Unit Price (USD) ]]</f>
        <v>30000</v>
      </c>
      <c r="U80" s="3">
        <f>Procurement[[#This Row],[Total Procurement Cost]]+Procurement[[#This Row],[ Maintenance Cost (USD/year) ]]+Procurement[[#This Row],[ Installation Cost (USD) ]]</f>
        <v>32300</v>
      </c>
      <c r="V80" t="s">
        <v>57</v>
      </c>
      <c r="W80" t="str">
        <f>IF(Procurement[[#This Row],[Delivery Days]]&gt;0,"Late",IF(Procurement[[#This Row],[Delivery Days]]=0,"On Time","Early"))</f>
        <v>Late</v>
      </c>
      <c r="X80" t="str">
        <f>IF(Procurement[[#This Row],[ Warranty Period (Months) ]]&lt;24,"Short",IF(Procurement[[#This Row],[ Warranty Period (Months) ]]&lt;36,"Medium","Long"))</f>
        <v>Long</v>
      </c>
    </row>
    <row r="81" spans="1:24" x14ac:dyDescent="0.3">
      <c r="A81" s="2">
        <v>80</v>
      </c>
      <c r="B81" t="s">
        <v>368</v>
      </c>
      <c r="C81" t="s">
        <v>397</v>
      </c>
      <c r="D81" t="s">
        <v>369</v>
      </c>
      <c r="E81" t="s">
        <v>283</v>
      </c>
      <c r="F81" t="s">
        <v>434</v>
      </c>
      <c r="G81" s="2">
        <v>1</v>
      </c>
      <c r="H81" s="3">
        <v>20000</v>
      </c>
      <c r="I81" t="s">
        <v>285</v>
      </c>
      <c r="J81" t="s">
        <v>125</v>
      </c>
      <c r="K81" s="2">
        <v>6677889900</v>
      </c>
      <c r="L81" t="s">
        <v>286</v>
      </c>
      <c r="M81" t="s">
        <v>127</v>
      </c>
      <c r="N81" s="4">
        <v>45371</v>
      </c>
      <c r="O81" s="4">
        <v>45397</v>
      </c>
      <c r="P81">
        <f>Procurement[[#This Row],[ Date Delivered ]]-Procurement[[#This Row],[ Date Ordered ]]</f>
        <v>26</v>
      </c>
      <c r="Q81" s="2">
        <v>36</v>
      </c>
      <c r="R81" s="3">
        <v>2000</v>
      </c>
      <c r="S81" s="3">
        <v>1200</v>
      </c>
      <c r="T81" s="3">
        <f>Procurement[[#This Row],[ Quantity ]]*Procurement[[#This Row],[ Unit Price (USD) ]]</f>
        <v>20000</v>
      </c>
      <c r="U81" s="3">
        <f>Procurement[[#This Row],[Total Procurement Cost]]+Procurement[[#This Row],[ Maintenance Cost (USD/year) ]]+Procurement[[#This Row],[ Installation Cost (USD) ]]</f>
        <v>23200</v>
      </c>
      <c r="V81" t="s">
        <v>28</v>
      </c>
      <c r="W81" t="str">
        <f>IF(Procurement[[#This Row],[Delivery Days]]&gt;0,"Late",IF(Procurement[[#This Row],[Delivery Days]]=0,"On Time","Early"))</f>
        <v>Late</v>
      </c>
      <c r="X81" t="str">
        <f>IF(Procurement[[#This Row],[ Warranty Period (Months) ]]&lt;24,"Short",IF(Procurement[[#This Row],[ Warranty Period (Months) ]]&lt;36,"Medium","Long"))</f>
        <v>Long</v>
      </c>
    </row>
    <row r="82" spans="1:24" x14ac:dyDescent="0.3">
      <c r="A82" s="2">
        <v>81</v>
      </c>
      <c r="B82" t="s">
        <v>362</v>
      </c>
      <c r="C82" t="s">
        <v>407</v>
      </c>
      <c r="D82" t="s">
        <v>363</v>
      </c>
      <c r="E82" t="s">
        <v>302</v>
      </c>
      <c r="F82" t="s">
        <v>435</v>
      </c>
      <c r="G82" s="2">
        <v>1</v>
      </c>
      <c r="H82" s="3">
        <v>35000</v>
      </c>
      <c r="I82" t="s">
        <v>304</v>
      </c>
      <c r="J82" t="s">
        <v>161</v>
      </c>
      <c r="K82" s="2">
        <v>3322114455</v>
      </c>
      <c r="L82" t="s">
        <v>305</v>
      </c>
      <c r="M82" t="s">
        <v>84</v>
      </c>
      <c r="N82" s="4">
        <v>45337</v>
      </c>
      <c r="O82" s="4">
        <v>45361</v>
      </c>
      <c r="P82">
        <f>Procurement[[#This Row],[ Date Delivered ]]-Procurement[[#This Row],[ Date Ordered ]]</f>
        <v>24</v>
      </c>
      <c r="Q82" s="2">
        <v>48</v>
      </c>
      <c r="R82" s="3">
        <v>2500</v>
      </c>
      <c r="S82" s="3">
        <v>1500</v>
      </c>
      <c r="T82" s="3">
        <f>Procurement[[#This Row],[ Quantity ]]*Procurement[[#This Row],[ Unit Price (USD) ]]</f>
        <v>35000</v>
      </c>
      <c r="U82" s="3">
        <f>Procurement[[#This Row],[Total Procurement Cost]]+Procurement[[#This Row],[ Maintenance Cost (USD/year) ]]+Procurement[[#This Row],[ Installation Cost (USD) ]]</f>
        <v>39000</v>
      </c>
      <c r="V82" t="s">
        <v>28</v>
      </c>
      <c r="W82" t="str">
        <f>IF(Procurement[[#This Row],[Delivery Days]]&gt;0,"Late",IF(Procurement[[#This Row],[Delivery Days]]=0,"On Time","Early"))</f>
        <v>Late</v>
      </c>
      <c r="X82" t="str">
        <f>IF(Procurement[[#This Row],[ Warranty Period (Months) ]]&lt;24,"Short",IF(Procurement[[#This Row],[ Warranty Period (Months) ]]&lt;36,"Medium","Long"))</f>
        <v>Long</v>
      </c>
    </row>
    <row r="83" spans="1:24" x14ac:dyDescent="0.3">
      <c r="A83" s="2">
        <v>82</v>
      </c>
      <c r="B83" t="s">
        <v>359</v>
      </c>
      <c r="C83" t="s">
        <v>397</v>
      </c>
      <c r="D83" t="s">
        <v>360</v>
      </c>
      <c r="E83" t="s">
        <v>308</v>
      </c>
      <c r="F83" t="s">
        <v>436</v>
      </c>
      <c r="G83" s="2">
        <v>2</v>
      </c>
      <c r="H83" s="3">
        <v>6000</v>
      </c>
      <c r="I83" t="s">
        <v>310</v>
      </c>
      <c r="J83" t="s">
        <v>117</v>
      </c>
      <c r="K83" s="2">
        <v>7755332211</v>
      </c>
      <c r="L83" t="s">
        <v>311</v>
      </c>
      <c r="M83" t="s">
        <v>27</v>
      </c>
      <c r="N83" s="4">
        <v>45301</v>
      </c>
      <c r="O83" s="4">
        <v>45327</v>
      </c>
      <c r="P83">
        <f>Procurement[[#This Row],[ Date Delivered ]]-Procurement[[#This Row],[ Date Ordered ]]</f>
        <v>26</v>
      </c>
      <c r="Q83" s="2">
        <v>24</v>
      </c>
      <c r="R83" s="3">
        <v>1000</v>
      </c>
      <c r="S83" s="3">
        <v>500</v>
      </c>
      <c r="T83" s="3">
        <f>Procurement[[#This Row],[ Quantity ]]*Procurement[[#This Row],[ Unit Price (USD) ]]</f>
        <v>12000</v>
      </c>
      <c r="U83" s="3">
        <f>Procurement[[#This Row],[Total Procurement Cost]]+Procurement[[#This Row],[ Maintenance Cost (USD/year) ]]+Procurement[[#This Row],[ Installation Cost (USD) ]]</f>
        <v>13500</v>
      </c>
      <c r="V83" t="s">
        <v>47</v>
      </c>
      <c r="W83" t="str">
        <f>IF(Procurement[[#This Row],[Delivery Days]]&gt;0,"Late",IF(Procurement[[#This Row],[Delivery Days]]=0,"On Time","Early"))</f>
        <v>Late</v>
      </c>
      <c r="X83" t="str">
        <f>IF(Procurement[[#This Row],[ Warranty Period (Months) ]]&lt;24,"Short",IF(Procurement[[#This Row],[ Warranty Period (Months) ]]&lt;36,"Medium","Long"))</f>
        <v>Medium</v>
      </c>
    </row>
    <row r="84" spans="1:24" x14ac:dyDescent="0.3">
      <c r="A84" s="2">
        <v>83</v>
      </c>
      <c r="B84" t="s">
        <v>344</v>
      </c>
      <c r="C84" t="s">
        <v>407</v>
      </c>
      <c r="D84" t="s">
        <v>345</v>
      </c>
      <c r="E84" t="s">
        <v>290</v>
      </c>
      <c r="F84" t="s">
        <v>437</v>
      </c>
      <c r="G84" s="2">
        <v>1</v>
      </c>
      <c r="H84" s="3">
        <v>20000</v>
      </c>
      <c r="I84" t="s">
        <v>401</v>
      </c>
      <c r="J84" t="s">
        <v>91</v>
      </c>
      <c r="K84" s="2">
        <v>6677889900</v>
      </c>
      <c r="L84" t="s">
        <v>402</v>
      </c>
      <c r="M84" t="s">
        <v>93</v>
      </c>
      <c r="N84" s="4">
        <v>45384</v>
      </c>
      <c r="O84" s="4">
        <v>45407</v>
      </c>
      <c r="P84">
        <f>Procurement[[#This Row],[ Date Delivered ]]-Procurement[[#This Row],[ Date Ordered ]]</f>
        <v>23</v>
      </c>
      <c r="Q84" s="2">
        <v>36</v>
      </c>
      <c r="R84" s="3">
        <v>1500</v>
      </c>
      <c r="S84" s="3">
        <v>800</v>
      </c>
      <c r="T84" s="3">
        <f>Procurement[[#This Row],[ Quantity ]]*Procurement[[#This Row],[ Unit Price (USD) ]]</f>
        <v>20000</v>
      </c>
      <c r="U84" s="3">
        <f>Procurement[[#This Row],[Total Procurement Cost]]+Procurement[[#This Row],[ Maintenance Cost (USD/year) ]]+Procurement[[#This Row],[ Installation Cost (USD) ]]</f>
        <v>22300</v>
      </c>
      <c r="V84" t="s">
        <v>57</v>
      </c>
      <c r="W84" t="str">
        <f>IF(Procurement[[#This Row],[Delivery Days]]&gt;0,"Late",IF(Procurement[[#This Row],[Delivery Days]]=0,"On Time","Early"))</f>
        <v>Late</v>
      </c>
      <c r="X84" t="str">
        <f>IF(Procurement[[#This Row],[ Warranty Period (Months) ]]&lt;24,"Short",IF(Procurement[[#This Row],[ Warranty Period (Months) ]]&lt;36,"Medium","Long"))</f>
        <v>Long</v>
      </c>
    </row>
    <row r="85" spans="1:24" x14ac:dyDescent="0.3">
      <c r="A85" s="2">
        <v>84</v>
      </c>
      <c r="B85" t="s">
        <v>350</v>
      </c>
      <c r="C85" t="s">
        <v>415</v>
      </c>
      <c r="D85" t="s">
        <v>352</v>
      </c>
      <c r="E85" t="s">
        <v>333</v>
      </c>
      <c r="F85" t="s">
        <v>438</v>
      </c>
      <c r="G85" s="2">
        <v>1</v>
      </c>
      <c r="H85" s="3">
        <v>15000</v>
      </c>
      <c r="I85" t="s">
        <v>439</v>
      </c>
      <c r="J85" t="s">
        <v>169</v>
      </c>
      <c r="K85" s="2">
        <v>3322114455</v>
      </c>
      <c r="L85" t="s">
        <v>440</v>
      </c>
      <c r="M85" t="s">
        <v>136</v>
      </c>
      <c r="N85" s="4">
        <v>45371</v>
      </c>
      <c r="O85" s="4">
        <v>45397</v>
      </c>
      <c r="P85">
        <f>Procurement[[#This Row],[ Date Delivered ]]-Procurement[[#This Row],[ Date Ordered ]]</f>
        <v>26</v>
      </c>
      <c r="Q85" s="2">
        <v>36</v>
      </c>
      <c r="R85" s="3">
        <v>1800</v>
      </c>
      <c r="S85" s="3">
        <v>1000</v>
      </c>
      <c r="T85" s="3">
        <f>Procurement[[#This Row],[ Quantity ]]*Procurement[[#This Row],[ Unit Price (USD) ]]</f>
        <v>15000</v>
      </c>
      <c r="U85" s="3">
        <f>Procurement[[#This Row],[Total Procurement Cost]]+Procurement[[#This Row],[ Maintenance Cost (USD/year) ]]+Procurement[[#This Row],[ Installation Cost (USD) ]]</f>
        <v>17800</v>
      </c>
      <c r="V85" t="s">
        <v>47</v>
      </c>
      <c r="W85" t="str">
        <f>IF(Procurement[[#This Row],[Delivery Days]]&gt;0,"Late",IF(Procurement[[#This Row],[Delivery Days]]=0,"On Time","Early"))</f>
        <v>Late</v>
      </c>
      <c r="X85" t="str">
        <f>IF(Procurement[[#This Row],[ Warranty Period (Months) ]]&lt;24,"Short",IF(Procurement[[#This Row],[ Warranty Period (Months) ]]&lt;36,"Medium","Long"))</f>
        <v>Long</v>
      </c>
    </row>
    <row r="86" spans="1:24" x14ac:dyDescent="0.3">
      <c r="A86" s="2">
        <v>85</v>
      </c>
      <c r="B86" t="s">
        <v>356</v>
      </c>
      <c r="C86" t="s">
        <v>399</v>
      </c>
      <c r="D86" t="s">
        <v>357</v>
      </c>
      <c r="E86" t="s">
        <v>320</v>
      </c>
      <c r="F86" t="s">
        <v>441</v>
      </c>
      <c r="G86" s="2">
        <v>2</v>
      </c>
      <c r="H86" s="3">
        <v>5000</v>
      </c>
      <c r="I86" t="s">
        <v>322</v>
      </c>
      <c r="J86" t="s">
        <v>219</v>
      </c>
      <c r="K86" s="2">
        <v>7755332211</v>
      </c>
      <c r="L86" t="s">
        <v>323</v>
      </c>
      <c r="M86" t="s">
        <v>221</v>
      </c>
      <c r="N86" s="4">
        <v>45337</v>
      </c>
      <c r="O86" s="4">
        <v>45361</v>
      </c>
      <c r="P86">
        <f>Procurement[[#This Row],[ Date Delivered ]]-Procurement[[#This Row],[ Date Ordered ]]</f>
        <v>24</v>
      </c>
      <c r="Q86" s="2">
        <v>24</v>
      </c>
      <c r="R86" s="3">
        <v>800</v>
      </c>
      <c r="S86" s="3">
        <v>500</v>
      </c>
      <c r="T86" s="3">
        <f>Procurement[[#This Row],[ Quantity ]]*Procurement[[#This Row],[ Unit Price (USD) ]]</f>
        <v>10000</v>
      </c>
      <c r="U86" s="3">
        <f>Procurement[[#This Row],[Total Procurement Cost]]+Procurement[[#This Row],[ Maintenance Cost (USD/year) ]]+Procurement[[#This Row],[ Installation Cost (USD) ]]</f>
        <v>11300</v>
      </c>
      <c r="V86" t="s">
        <v>47</v>
      </c>
      <c r="W86" t="str">
        <f>IF(Procurement[[#This Row],[Delivery Days]]&gt;0,"Late",IF(Procurement[[#This Row],[Delivery Days]]=0,"On Time","Early"))</f>
        <v>Late</v>
      </c>
      <c r="X86" t="str">
        <f>IF(Procurement[[#This Row],[ Warranty Period (Months) ]]&lt;24,"Short",IF(Procurement[[#This Row],[ Warranty Period (Months) ]]&lt;36,"Medium","Long"))</f>
        <v>Medium</v>
      </c>
    </row>
    <row r="87" spans="1:24" x14ac:dyDescent="0.3">
      <c r="A87" s="2">
        <v>86</v>
      </c>
      <c r="B87" t="s">
        <v>373</v>
      </c>
      <c r="C87" t="s">
        <v>407</v>
      </c>
      <c r="D87" t="s">
        <v>374</v>
      </c>
      <c r="E87" t="s">
        <v>340</v>
      </c>
      <c r="F87" t="s">
        <v>442</v>
      </c>
      <c r="G87" s="2">
        <v>1</v>
      </c>
      <c r="H87" s="3">
        <v>25000</v>
      </c>
      <c r="I87" t="s">
        <v>401</v>
      </c>
      <c r="J87" t="s">
        <v>91</v>
      </c>
      <c r="K87" s="2">
        <v>6677889900</v>
      </c>
      <c r="L87" t="s">
        <v>402</v>
      </c>
      <c r="M87" t="s">
        <v>93</v>
      </c>
      <c r="N87" s="4">
        <v>45301</v>
      </c>
      <c r="O87" s="4">
        <v>45327</v>
      </c>
      <c r="P87">
        <f>Procurement[[#This Row],[ Date Delivered ]]-Procurement[[#This Row],[ Date Ordered ]]</f>
        <v>26</v>
      </c>
      <c r="Q87" s="2">
        <v>36</v>
      </c>
      <c r="R87" s="3">
        <v>1500</v>
      </c>
      <c r="S87" s="3">
        <v>800</v>
      </c>
      <c r="T87" s="3">
        <f>Procurement[[#This Row],[ Quantity ]]*Procurement[[#This Row],[ Unit Price (USD) ]]</f>
        <v>25000</v>
      </c>
      <c r="U87" s="3">
        <f>Procurement[[#This Row],[Total Procurement Cost]]+Procurement[[#This Row],[ Maintenance Cost (USD/year) ]]+Procurement[[#This Row],[ Installation Cost (USD) ]]</f>
        <v>27300</v>
      </c>
      <c r="V87" t="s">
        <v>57</v>
      </c>
      <c r="W87" t="str">
        <f>IF(Procurement[[#This Row],[Delivery Days]]&gt;0,"Late",IF(Procurement[[#This Row],[Delivery Days]]=0,"On Time","Early"))</f>
        <v>Late</v>
      </c>
      <c r="X87" t="str">
        <f>IF(Procurement[[#This Row],[ Warranty Period (Months) ]]&lt;24,"Short",IF(Procurement[[#This Row],[ Warranty Period (Months) ]]&lt;36,"Medium","Long"))</f>
        <v>Long</v>
      </c>
    </row>
    <row r="88" spans="1:24" x14ac:dyDescent="0.3">
      <c r="A88" s="2">
        <v>87</v>
      </c>
      <c r="B88" t="s">
        <v>421</v>
      </c>
      <c r="C88" t="s">
        <v>422</v>
      </c>
      <c r="D88" t="s">
        <v>423</v>
      </c>
      <c r="E88" t="s">
        <v>327</v>
      </c>
      <c r="F88" t="s">
        <v>443</v>
      </c>
      <c r="G88" s="2">
        <v>1</v>
      </c>
      <c r="H88" s="3">
        <v>5000</v>
      </c>
      <c r="I88" t="s">
        <v>329</v>
      </c>
      <c r="J88" t="s">
        <v>91</v>
      </c>
      <c r="K88" s="2">
        <v>7755332211</v>
      </c>
      <c r="L88" t="s">
        <v>330</v>
      </c>
      <c r="M88" t="s">
        <v>93</v>
      </c>
      <c r="N88" s="4">
        <v>45384</v>
      </c>
      <c r="O88" s="4">
        <v>45407</v>
      </c>
      <c r="P88">
        <f>Procurement[[#This Row],[ Date Delivered ]]-Procurement[[#This Row],[ Date Ordered ]]</f>
        <v>23</v>
      </c>
      <c r="Q88" s="2">
        <v>24</v>
      </c>
      <c r="R88" s="3">
        <v>800</v>
      </c>
      <c r="S88" s="3">
        <v>500</v>
      </c>
      <c r="T88" s="3">
        <f>Procurement[[#This Row],[ Quantity ]]*Procurement[[#This Row],[ Unit Price (USD) ]]</f>
        <v>5000</v>
      </c>
      <c r="U88" s="3">
        <f>Procurement[[#This Row],[Total Procurement Cost]]+Procurement[[#This Row],[ Maintenance Cost (USD/year) ]]+Procurement[[#This Row],[ Installation Cost (USD) ]]</f>
        <v>6300</v>
      </c>
      <c r="V88" t="s">
        <v>205</v>
      </c>
      <c r="W88" t="str">
        <f>IF(Procurement[[#This Row],[Delivery Days]]&gt;0,"Late",IF(Procurement[[#This Row],[Delivery Days]]=0,"On Time","Early"))</f>
        <v>Late</v>
      </c>
      <c r="X88" t="str">
        <f>IF(Procurement[[#This Row],[ Warranty Period (Months) ]]&lt;24,"Short",IF(Procurement[[#This Row],[ Warranty Period (Months) ]]&lt;36,"Medium","Long"))</f>
        <v>Medium</v>
      </c>
    </row>
    <row r="89" spans="1:24" x14ac:dyDescent="0.3">
      <c r="A89" s="2">
        <v>88</v>
      </c>
      <c r="B89" t="s">
        <v>444</v>
      </c>
      <c r="C89" t="s">
        <v>445</v>
      </c>
      <c r="D89" t="s">
        <v>446</v>
      </c>
      <c r="E89" t="s">
        <v>333</v>
      </c>
      <c r="F89" t="s">
        <v>447</v>
      </c>
      <c r="G89" s="2">
        <v>1</v>
      </c>
      <c r="H89" s="3">
        <v>10000</v>
      </c>
      <c r="I89" t="s">
        <v>335</v>
      </c>
      <c r="J89" t="s">
        <v>44</v>
      </c>
      <c r="K89" s="2">
        <v>3322114455</v>
      </c>
      <c r="L89" t="s">
        <v>336</v>
      </c>
      <c r="M89" t="s">
        <v>46</v>
      </c>
      <c r="N89" s="4">
        <v>45366</v>
      </c>
      <c r="O89" s="4">
        <v>45392</v>
      </c>
      <c r="P89">
        <f>Procurement[[#This Row],[ Date Delivered ]]-Procurement[[#This Row],[ Date Ordered ]]</f>
        <v>26</v>
      </c>
      <c r="Q89" s="2">
        <v>36</v>
      </c>
      <c r="R89" s="3">
        <v>1500</v>
      </c>
      <c r="S89" s="3">
        <v>800</v>
      </c>
      <c r="T89" s="3">
        <f>Procurement[[#This Row],[ Quantity ]]*Procurement[[#This Row],[ Unit Price (USD) ]]</f>
        <v>10000</v>
      </c>
      <c r="U89" s="3">
        <f>Procurement[[#This Row],[Total Procurement Cost]]+Procurement[[#This Row],[ Maintenance Cost (USD/year) ]]+Procurement[[#This Row],[ Installation Cost (USD) ]]</f>
        <v>12300</v>
      </c>
      <c r="V89" t="s">
        <v>57</v>
      </c>
      <c r="W89" t="str">
        <f>IF(Procurement[[#This Row],[Delivery Days]]&gt;0,"Late",IF(Procurement[[#This Row],[Delivery Days]]=0,"On Time","Early"))</f>
        <v>Late</v>
      </c>
      <c r="X89" t="str">
        <f>IF(Procurement[[#This Row],[ Warranty Period (Months) ]]&lt;24,"Short",IF(Procurement[[#This Row],[ Warranty Period (Months) ]]&lt;36,"Medium","Long"))</f>
        <v>Long</v>
      </c>
    </row>
    <row r="90" spans="1:24" x14ac:dyDescent="0.3">
      <c r="A90" s="2">
        <v>89</v>
      </c>
      <c r="B90" t="s">
        <v>448</v>
      </c>
      <c r="C90" t="s">
        <v>449</v>
      </c>
      <c r="D90" t="s">
        <v>450</v>
      </c>
      <c r="E90" t="s">
        <v>216</v>
      </c>
      <c r="F90" t="s">
        <v>451</v>
      </c>
      <c r="G90" s="2">
        <v>1</v>
      </c>
      <c r="H90" s="3">
        <v>5000</v>
      </c>
      <c r="I90" t="s">
        <v>322</v>
      </c>
      <c r="J90" t="s">
        <v>219</v>
      </c>
      <c r="K90" s="2">
        <v>7755332211</v>
      </c>
      <c r="L90" t="s">
        <v>452</v>
      </c>
      <c r="M90" t="s">
        <v>221</v>
      </c>
      <c r="N90" s="4">
        <v>45342</v>
      </c>
      <c r="O90" s="4">
        <v>45369</v>
      </c>
      <c r="P90">
        <f>Procurement[[#This Row],[ Date Delivered ]]-Procurement[[#This Row],[ Date Ordered ]]</f>
        <v>27</v>
      </c>
      <c r="Q90" s="2">
        <v>24</v>
      </c>
      <c r="R90" s="3">
        <v>800</v>
      </c>
      <c r="S90" s="3">
        <v>500</v>
      </c>
      <c r="T90" s="3">
        <f>Procurement[[#This Row],[ Quantity ]]*Procurement[[#This Row],[ Unit Price (USD) ]]</f>
        <v>5000</v>
      </c>
      <c r="U90" s="3">
        <f>Procurement[[#This Row],[Total Procurement Cost]]+Procurement[[#This Row],[ Maintenance Cost (USD/year) ]]+Procurement[[#This Row],[ Installation Cost (USD) ]]</f>
        <v>6300</v>
      </c>
      <c r="V90" t="s">
        <v>47</v>
      </c>
      <c r="W90" t="str">
        <f>IF(Procurement[[#This Row],[Delivery Days]]&gt;0,"Late",IF(Procurement[[#This Row],[Delivery Days]]=0,"On Time","Early"))</f>
        <v>Late</v>
      </c>
      <c r="X90" t="str">
        <f>IF(Procurement[[#This Row],[ Warranty Period (Months) ]]&lt;24,"Short",IF(Procurement[[#This Row],[ Warranty Period (Months) ]]&lt;36,"Medium","Long"))</f>
        <v>Medium</v>
      </c>
    </row>
    <row r="91" spans="1:24" x14ac:dyDescent="0.3">
      <c r="A91" s="2">
        <v>90</v>
      </c>
      <c r="B91" t="s">
        <v>453</v>
      </c>
      <c r="C91" t="s">
        <v>454</v>
      </c>
      <c r="D91" t="s">
        <v>455</v>
      </c>
      <c r="E91" t="s">
        <v>216</v>
      </c>
      <c r="F91" t="s">
        <v>456</v>
      </c>
      <c r="G91" s="2">
        <v>1</v>
      </c>
      <c r="H91" s="3">
        <v>5000</v>
      </c>
      <c r="I91" t="s">
        <v>322</v>
      </c>
      <c r="J91" t="s">
        <v>219</v>
      </c>
      <c r="K91" s="2">
        <v>7755332211</v>
      </c>
      <c r="L91" t="s">
        <v>452</v>
      </c>
      <c r="M91" t="s">
        <v>221</v>
      </c>
      <c r="N91" s="4">
        <v>45301</v>
      </c>
      <c r="O91" s="4">
        <v>45327</v>
      </c>
      <c r="P91">
        <f>Procurement[[#This Row],[ Date Delivered ]]-Procurement[[#This Row],[ Date Ordered ]]</f>
        <v>26</v>
      </c>
      <c r="Q91" s="2">
        <v>24</v>
      </c>
      <c r="R91" s="3">
        <v>800</v>
      </c>
      <c r="S91" s="3">
        <v>500</v>
      </c>
      <c r="T91" s="3">
        <f>Procurement[[#This Row],[ Quantity ]]*Procurement[[#This Row],[ Unit Price (USD) ]]</f>
        <v>5000</v>
      </c>
      <c r="U91" s="3">
        <f>Procurement[[#This Row],[Total Procurement Cost]]+Procurement[[#This Row],[ Maintenance Cost (USD/year) ]]+Procurement[[#This Row],[ Installation Cost (USD) ]]</f>
        <v>6300</v>
      </c>
      <c r="V91" t="s">
        <v>47</v>
      </c>
      <c r="W91" t="str">
        <f>IF(Procurement[[#This Row],[Delivery Days]]&gt;0,"Late",IF(Procurement[[#This Row],[Delivery Days]]=0,"On Time","Early"))</f>
        <v>Late</v>
      </c>
      <c r="X91" t="str">
        <f>IF(Procurement[[#This Row],[ Warranty Period (Months) ]]&lt;24,"Short",IF(Procurement[[#This Row],[ Warranty Period (Months) ]]&lt;36,"Medium","Long"))</f>
        <v>Medium</v>
      </c>
    </row>
    <row r="92" spans="1:24" x14ac:dyDescent="0.3">
      <c r="A92" s="2">
        <v>91</v>
      </c>
      <c r="B92" t="s">
        <v>457</v>
      </c>
      <c r="C92" t="s">
        <v>458</v>
      </c>
      <c r="D92" t="s">
        <v>459</v>
      </c>
      <c r="E92" t="s">
        <v>238</v>
      </c>
      <c r="F92" t="s">
        <v>460</v>
      </c>
      <c r="G92" s="2">
        <v>1</v>
      </c>
      <c r="H92" s="3">
        <v>40000</v>
      </c>
      <c r="I92" t="s">
        <v>405</v>
      </c>
      <c r="J92" t="s">
        <v>64</v>
      </c>
      <c r="K92" s="2">
        <v>6677889900</v>
      </c>
      <c r="L92" t="s">
        <v>461</v>
      </c>
      <c r="M92" t="s">
        <v>66</v>
      </c>
      <c r="N92" s="4">
        <v>45356</v>
      </c>
      <c r="O92" s="4">
        <v>45379</v>
      </c>
      <c r="P92">
        <f>Procurement[[#This Row],[ Date Delivered ]]-Procurement[[#This Row],[ Date Ordered ]]</f>
        <v>23</v>
      </c>
      <c r="Q92" s="2">
        <v>36</v>
      </c>
      <c r="R92" s="3">
        <v>2000</v>
      </c>
      <c r="S92" s="3">
        <v>1200</v>
      </c>
      <c r="T92" s="3">
        <f>Procurement[[#This Row],[ Quantity ]]*Procurement[[#This Row],[ Unit Price (USD) ]]</f>
        <v>40000</v>
      </c>
      <c r="U92" s="3">
        <f>Procurement[[#This Row],[Total Procurement Cost]]+Procurement[[#This Row],[ Maintenance Cost (USD/year) ]]+Procurement[[#This Row],[ Installation Cost (USD) ]]</f>
        <v>43200</v>
      </c>
      <c r="V92" t="s">
        <v>28</v>
      </c>
      <c r="W92" t="str">
        <f>IF(Procurement[[#This Row],[Delivery Days]]&gt;0,"Late",IF(Procurement[[#This Row],[Delivery Days]]=0,"On Time","Early"))</f>
        <v>Late</v>
      </c>
      <c r="X92" t="str">
        <f>IF(Procurement[[#This Row],[ Warranty Period (Months) ]]&lt;24,"Short",IF(Procurement[[#This Row],[ Warranty Period (Months) ]]&lt;36,"Medium","Long"))</f>
        <v>Long</v>
      </c>
    </row>
    <row r="93" spans="1:24" x14ac:dyDescent="0.3">
      <c r="A93" s="2">
        <v>92</v>
      </c>
      <c r="B93" t="s">
        <v>462</v>
      </c>
      <c r="C93" t="s">
        <v>463</v>
      </c>
      <c r="D93" t="s">
        <v>464</v>
      </c>
      <c r="E93" t="s">
        <v>231</v>
      </c>
      <c r="F93" t="s">
        <v>465</v>
      </c>
      <c r="G93" s="2">
        <v>1</v>
      </c>
      <c r="H93" s="3">
        <v>20000</v>
      </c>
      <c r="I93" t="s">
        <v>380</v>
      </c>
      <c r="J93" t="s">
        <v>44</v>
      </c>
      <c r="K93" s="2">
        <v>3322114455</v>
      </c>
      <c r="L93" t="s">
        <v>466</v>
      </c>
      <c r="M93" t="s">
        <v>46</v>
      </c>
      <c r="N93" s="4">
        <v>45384</v>
      </c>
      <c r="O93" s="4">
        <v>45407</v>
      </c>
      <c r="P93">
        <f>Procurement[[#This Row],[ Date Delivered ]]-Procurement[[#This Row],[ Date Ordered ]]</f>
        <v>23</v>
      </c>
      <c r="Q93" s="2">
        <v>36</v>
      </c>
      <c r="R93" s="3">
        <v>2500</v>
      </c>
      <c r="S93" s="3">
        <v>1500</v>
      </c>
      <c r="T93" s="3">
        <f>Procurement[[#This Row],[ Quantity ]]*Procurement[[#This Row],[ Unit Price (USD) ]]</f>
        <v>20000</v>
      </c>
      <c r="U93" s="3">
        <f>Procurement[[#This Row],[Total Procurement Cost]]+Procurement[[#This Row],[ Maintenance Cost (USD/year) ]]+Procurement[[#This Row],[ Installation Cost (USD) ]]</f>
        <v>24000</v>
      </c>
      <c r="V93" t="s">
        <v>28</v>
      </c>
      <c r="W93" t="str">
        <f>IF(Procurement[[#This Row],[Delivery Days]]&gt;0,"Late",IF(Procurement[[#This Row],[Delivery Days]]=0,"On Time","Early"))</f>
        <v>Late</v>
      </c>
      <c r="X93" t="str">
        <f>IF(Procurement[[#This Row],[ Warranty Period (Months) ]]&lt;24,"Short",IF(Procurement[[#This Row],[ Warranty Period (Months) ]]&lt;36,"Medium","Long"))</f>
        <v>Long</v>
      </c>
    </row>
    <row r="94" spans="1:24" x14ac:dyDescent="0.3">
      <c r="A94" s="2">
        <v>93</v>
      </c>
      <c r="B94" t="s">
        <v>467</v>
      </c>
      <c r="C94" t="s">
        <v>386</v>
      </c>
      <c r="D94" t="s">
        <v>468</v>
      </c>
      <c r="E94" t="s">
        <v>231</v>
      </c>
      <c r="F94" t="s">
        <v>469</v>
      </c>
      <c r="G94" s="2">
        <v>1</v>
      </c>
      <c r="H94" s="3">
        <v>15000</v>
      </c>
      <c r="I94" t="s">
        <v>335</v>
      </c>
      <c r="J94" t="s">
        <v>44</v>
      </c>
      <c r="K94" s="2">
        <v>3322114455</v>
      </c>
      <c r="L94" t="s">
        <v>470</v>
      </c>
      <c r="M94" t="s">
        <v>46</v>
      </c>
      <c r="N94" s="4">
        <v>45366</v>
      </c>
      <c r="O94" s="4">
        <v>45392</v>
      </c>
      <c r="P94">
        <f>Procurement[[#This Row],[ Date Delivered ]]-Procurement[[#This Row],[ Date Ordered ]]</f>
        <v>26</v>
      </c>
      <c r="Q94" s="2">
        <v>24</v>
      </c>
      <c r="R94" s="3">
        <v>1200</v>
      </c>
      <c r="S94" s="3">
        <v>700</v>
      </c>
      <c r="T94" s="3">
        <f>Procurement[[#This Row],[ Quantity ]]*Procurement[[#This Row],[ Unit Price (USD) ]]</f>
        <v>15000</v>
      </c>
      <c r="U94" s="3">
        <f>Procurement[[#This Row],[Total Procurement Cost]]+Procurement[[#This Row],[ Maintenance Cost (USD/year) ]]+Procurement[[#This Row],[ Installation Cost (USD) ]]</f>
        <v>16900</v>
      </c>
      <c r="V94" t="s">
        <v>47</v>
      </c>
      <c r="W94" t="str">
        <f>IF(Procurement[[#This Row],[Delivery Days]]&gt;0,"Late",IF(Procurement[[#This Row],[Delivery Days]]=0,"On Time","Early"))</f>
        <v>Late</v>
      </c>
      <c r="X94" t="str">
        <f>IF(Procurement[[#This Row],[ Warranty Period (Months) ]]&lt;24,"Short",IF(Procurement[[#This Row],[ Warranty Period (Months) ]]&lt;36,"Medium","Long"))</f>
        <v>Medium</v>
      </c>
    </row>
    <row r="95" spans="1:24" x14ac:dyDescent="0.3">
      <c r="A95" s="2">
        <v>94</v>
      </c>
      <c r="B95" t="s">
        <v>471</v>
      </c>
      <c r="C95" t="s">
        <v>392</v>
      </c>
      <c r="D95" t="s">
        <v>472</v>
      </c>
      <c r="E95" t="s">
        <v>238</v>
      </c>
      <c r="F95" t="s">
        <v>473</v>
      </c>
      <c r="G95" s="2">
        <v>1</v>
      </c>
      <c r="H95" s="3">
        <v>30000</v>
      </c>
      <c r="I95" t="s">
        <v>401</v>
      </c>
      <c r="J95" t="s">
        <v>91</v>
      </c>
      <c r="K95" s="2">
        <v>6677889900</v>
      </c>
      <c r="L95" t="s">
        <v>474</v>
      </c>
      <c r="M95" t="s">
        <v>93</v>
      </c>
      <c r="N95" s="4">
        <v>45350</v>
      </c>
      <c r="O95" s="4">
        <v>45376</v>
      </c>
      <c r="P95">
        <f>Procurement[[#This Row],[ Date Delivered ]]-Procurement[[#This Row],[ Date Ordered ]]</f>
        <v>26</v>
      </c>
      <c r="Q95" s="2">
        <v>36</v>
      </c>
      <c r="R95" s="3">
        <v>1500</v>
      </c>
      <c r="S95" s="3">
        <v>800</v>
      </c>
      <c r="T95" s="3">
        <f>Procurement[[#This Row],[ Quantity ]]*Procurement[[#This Row],[ Unit Price (USD) ]]</f>
        <v>30000</v>
      </c>
      <c r="U95" s="3">
        <f>Procurement[[#This Row],[Total Procurement Cost]]+Procurement[[#This Row],[ Maintenance Cost (USD/year) ]]+Procurement[[#This Row],[ Installation Cost (USD) ]]</f>
        <v>32300</v>
      </c>
      <c r="V95" t="s">
        <v>57</v>
      </c>
      <c r="W95" t="str">
        <f>IF(Procurement[[#This Row],[Delivery Days]]&gt;0,"Late",IF(Procurement[[#This Row],[Delivery Days]]=0,"On Time","Early"))</f>
        <v>Late</v>
      </c>
      <c r="X95" t="str">
        <f>IF(Procurement[[#This Row],[ Warranty Period (Months) ]]&lt;24,"Short",IF(Procurement[[#This Row],[ Warranty Period (Months) ]]&lt;36,"Medium","Long"))</f>
        <v>Long</v>
      </c>
    </row>
    <row r="96" spans="1:24" x14ac:dyDescent="0.3">
      <c r="A96" s="2">
        <v>95</v>
      </c>
      <c r="B96" t="s">
        <v>475</v>
      </c>
      <c r="C96" t="s">
        <v>397</v>
      </c>
      <c r="D96" t="s">
        <v>476</v>
      </c>
      <c r="E96" t="s">
        <v>114</v>
      </c>
      <c r="F96" t="s">
        <v>477</v>
      </c>
      <c r="G96" s="2">
        <v>1</v>
      </c>
      <c r="H96" s="3">
        <v>40000</v>
      </c>
      <c r="I96" t="s">
        <v>272</v>
      </c>
      <c r="J96" t="s">
        <v>54</v>
      </c>
      <c r="K96" s="2">
        <v>7755332211</v>
      </c>
      <c r="L96" t="s">
        <v>478</v>
      </c>
      <c r="M96" t="s">
        <v>56</v>
      </c>
      <c r="N96" s="4">
        <v>45311</v>
      </c>
      <c r="O96" s="4">
        <v>45337</v>
      </c>
      <c r="P96">
        <f>Procurement[[#This Row],[ Date Delivered ]]-Procurement[[#This Row],[ Date Ordered ]]</f>
        <v>26</v>
      </c>
      <c r="Q96" s="2">
        <v>48</v>
      </c>
      <c r="R96" s="3">
        <v>2000</v>
      </c>
      <c r="S96" s="3">
        <v>1200</v>
      </c>
      <c r="T96" s="3">
        <f>Procurement[[#This Row],[ Quantity ]]*Procurement[[#This Row],[ Unit Price (USD) ]]</f>
        <v>40000</v>
      </c>
      <c r="U96" s="3">
        <f>Procurement[[#This Row],[Total Procurement Cost]]+Procurement[[#This Row],[ Maintenance Cost (USD/year) ]]+Procurement[[#This Row],[ Installation Cost (USD) ]]</f>
        <v>43200</v>
      </c>
      <c r="V96" t="s">
        <v>28</v>
      </c>
      <c r="W96" t="str">
        <f>IF(Procurement[[#This Row],[Delivery Days]]&gt;0,"Late",IF(Procurement[[#This Row],[Delivery Days]]=0,"On Time","Early"))</f>
        <v>Late</v>
      </c>
      <c r="X96" t="str">
        <f>IF(Procurement[[#This Row],[ Warranty Period (Months) ]]&lt;24,"Short",IF(Procurement[[#This Row],[ Warranty Period (Months) ]]&lt;36,"Medium","Long"))</f>
        <v>Long</v>
      </c>
    </row>
    <row r="97" spans="1:24" x14ac:dyDescent="0.3">
      <c r="A97" s="2">
        <v>96</v>
      </c>
      <c r="B97" t="s">
        <v>479</v>
      </c>
      <c r="C97" t="s">
        <v>480</v>
      </c>
      <c r="D97" t="s">
        <v>481</v>
      </c>
      <c r="E97" t="s">
        <v>231</v>
      </c>
      <c r="F97" t="s">
        <v>482</v>
      </c>
      <c r="G97" s="2">
        <v>1</v>
      </c>
      <c r="H97" s="3">
        <v>60000</v>
      </c>
      <c r="I97" t="s">
        <v>483</v>
      </c>
      <c r="J97" t="s">
        <v>143</v>
      </c>
      <c r="K97" s="2">
        <v>3322114455</v>
      </c>
      <c r="L97" t="s">
        <v>484</v>
      </c>
      <c r="M97" t="s">
        <v>145</v>
      </c>
      <c r="N97" s="4">
        <v>45392</v>
      </c>
      <c r="O97" s="4">
        <v>45417</v>
      </c>
      <c r="P97">
        <f>Procurement[[#This Row],[ Date Delivered ]]-Procurement[[#This Row],[ Date Ordered ]]</f>
        <v>25</v>
      </c>
      <c r="Q97" s="2">
        <v>48</v>
      </c>
      <c r="R97" s="3">
        <v>2500</v>
      </c>
      <c r="S97" s="3">
        <v>1500</v>
      </c>
      <c r="T97" s="3">
        <f>Procurement[[#This Row],[ Quantity ]]*Procurement[[#This Row],[ Unit Price (USD) ]]</f>
        <v>60000</v>
      </c>
      <c r="U97" s="3">
        <f>Procurement[[#This Row],[Total Procurement Cost]]+Procurement[[#This Row],[ Maintenance Cost (USD/year) ]]+Procurement[[#This Row],[ Installation Cost (USD) ]]</f>
        <v>64000</v>
      </c>
      <c r="V97" t="s">
        <v>28</v>
      </c>
      <c r="W97" t="str">
        <f>IF(Procurement[[#This Row],[Delivery Days]]&gt;0,"Late",IF(Procurement[[#This Row],[Delivery Days]]=0,"On Time","Early"))</f>
        <v>Late</v>
      </c>
      <c r="X97" t="str">
        <f>IF(Procurement[[#This Row],[ Warranty Period (Months) ]]&lt;24,"Short",IF(Procurement[[#This Row],[ Warranty Period (Months) ]]&lt;36,"Medium","Long"))</f>
        <v>Long</v>
      </c>
    </row>
    <row r="98" spans="1:24" x14ac:dyDescent="0.3">
      <c r="A98" s="2">
        <v>97</v>
      </c>
      <c r="B98" t="s">
        <v>485</v>
      </c>
      <c r="C98" t="s">
        <v>486</v>
      </c>
      <c r="D98" t="s">
        <v>487</v>
      </c>
      <c r="E98" t="s">
        <v>231</v>
      </c>
      <c r="F98" t="s">
        <v>488</v>
      </c>
      <c r="G98" s="2">
        <v>1</v>
      </c>
      <c r="H98" s="3">
        <v>50000</v>
      </c>
      <c r="I98" t="s">
        <v>335</v>
      </c>
      <c r="J98" t="s">
        <v>44</v>
      </c>
      <c r="K98" s="2">
        <v>3322114455</v>
      </c>
      <c r="L98" t="s">
        <v>470</v>
      </c>
      <c r="M98" t="s">
        <v>46</v>
      </c>
      <c r="N98" s="4">
        <v>45356</v>
      </c>
      <c r="O98" s="4">
        <v>45379</v>
      </c>
      <c r="P98">
        <f>Procurement[[#This Row],[ Date Delivered ]]-Procurement[[#This Row],[ Date Ordered ]]</f>
        <v>23</v>
      </c>
      <c r="Q98" s="2">
        <v>36</v>
      </c>
      <c r="R98" s="3">
        <v>1800</v>
      </c>
      <c r="S98" s="3">
        <v>1000</v>
      </c>
      <c r="T98" s="3">
        <f>Procurement[[#This Row],[ Quantity ]]*Procurement[[#This Row],[ Unit Price (USD) ]]</f>
        <v>50000</v>
      </c>
      <c r="U98" s="3">
        <f>Procurement[[#This Row],[Total Procurement Cost]]+Procurement[[#This Row],[ Maintenance Cost (USD/year) ]]+Procurement[[#This Row],[ Installation Cost (USD) ]]</f>
        <v>52800</v>
      </c>
      <c r="V98" t="s">
        <v>47</v>
      </c>
      <c r="W98" t="str">
        <f>IF(Procurement[[#This Row],[Delivery Days]]&gt;0,"Late",IF(Procurement[[#This Row],[Delivery Days]]=0,"On Time","Early"))</f>
        <v>Late</v>
      </c>
      <c r="X98" t="str">
        <f>IF(Procurement[[#This Row],[ Warranty Period (Months) ]]&lt;24,"Short",IF(Procurement[[#This Row],[ Warranty Period (Months) ]]&lt;36,"Medium","Long"))</f>
        <v>Long</v>
      </c>
    </row>
    <row r="99" spans="1:24" x14ac:dyDescent="0.3">
      <c r="A99" s="2">
        <v>98</v>
      </c>
      <c r="B99" t="s">
        <v>489</v>
      </c>
      <c r="C99" t="s">
        <v>407</v>
      </c>
      <c r="D99" t="s">
        <v>490</v>
      </c>
      <c r="E99" t="s">
        <v>216</v>
      </c>
      <c r="F99" t="s">
        <v>398</v>
      </c>
      <c r="G99" s="2">
        <v>1</v>
      </c>
      <c r="H99" s="3">
        <v>8000</v>
      </c>
      <c r="I99" t="s">
        <v>322</v>
      </c>
      <c r="J99" t="s">
        <v>219</v>
      </c>
      <c r="K99" s="2">
        <v>7755332211</v>
      </c>
      <c r="L99" t="s">
        <v>452</v>
      </c>
      <c r="M99" t="s">
        <v>221</v>
      </c>
      <c r="N99" s="4">
        <v>45342</v>
      </c>
      <c r="O99" s="4">
        <v>45369</v>
      </c>
      <c r="P99">
        <f>Procurement[[#This Row],[ Date Delivered ]]-Procurement[[#This Row],[ Date Ordered ]]</f>
        <v>27</v>
      </c>
      <c r="Q99" s="2">
        <v>24</v>
      </c>
      <c r="R99" s="3">
        <v>1000</v>
      </c>
      <c r="S99" s="3">
        <v>500</v>
      </c>
      <c r="T99" s="3">
        <f>Procurement[[#This Row],[ Quantity ]]*Procurement[[#This Row],[ Unit Price (USD) ]]</f>
        <v>8000</v>
      </c>
      <c r="U99" s="3">
        <f>Procurement[[#This Row],[Total Procurement Cost]]+Procurement[[#This Row],[ Maintenance Cost (USD/year) ]]+Procurement[[#This Row],[ Installation Cost (USD) ]]</f>
        <v>9500</v>
      </c>
      <c r="V99" t="s">
        <v>47</v>
      </c>
      <c r="W99" t="str">
        <f>IF(Procurement[[#This Row],[Delivery Days]]&gt;0,"Late",IF(Procurement[[#This Row],[Delivery Days]]=0,"On Time","Early"))</f>
        <v>Late</v>
      </c>
      <c r="X99" t="str">
        <f>IF(Procurement[[#This Row],[ Warranty Period (Months) ]]&lt;24,"Short",IF(Procurement[[#This Row],[ Warranty Period (Months) ]]&lt;36,"Medium","Long"))</f>
        <v>Medium</v>
      </c>
    </row>
    <row r="100" spans="1:24" x14ac:dyDescent="0.3">
      <c r="A100" s="2">
        <v>99</v>
      </c>
      <c r="B100" t="s">
        <v>491</v>
      </c>
      <c r="C100" t="s">
        <v>492</v>
      </c>
      <c r="D100" t="s">
        <v>493</v>
      </c>
      <c r="E100" t="s">
        <v>216</v>
      </c>
      <c r="F100" t="s">
        <v>494</v>
      </c>
      <c r="G100" s="2">
        <v>1</v>
      </c>
      <c r="H100" s="3">
        <v>5000</v>
      </c>
      <c r="I100" t="s">
        <v>322</v>
      </c>
      <c r="J100" t="s">
        <v>219</v>
      </c>
      <c r="K100" s="2">
        <v>7755332211</v>
      </c>
      <c r="L100" t="s">
        <v>452</v>
      </c>
      <c r="M100" t="s">
        <v>221</v>
      </c>
      <c r="N100" s="4">
        <v>45301</v>
      </c>
      <c r="O100" s="4">
        <v>45327</v>
      </c>
      <c r="P100">
        <f>Procurement[[#This Row],[ Date Delivered ]]-Procurement[[#This Row],[ Date Ordered ]]</f>
        <v>26</v>
      </c>
      <c r="Q100" s="2">
        <v>24</v>
      </c>
      <c r="R100" s="3">
        <v>800</v>
      </c>
      <c r="S100" s="3">
        <v>500</v>
      </c>
      <c r="T100" s="3">
        <f>Procurement[[#This Row],[ Quantity ]]*Procurement[[#This Row],[ Unit Price (USD) ]]</f>
        <v>5000</v>
      </c>
      <c r="U100" s="3">
        <f>Procurement[[#This Row],[Total Procurement Cost]]+Procurement[[#This Row],[ Maintenance Cost (USD/year) ]]+Procurement[[#This Row],[ Installation Cost (USD) ]]</f>
        <v>6300</v>
      </c>
      <c r="V100" t="s">
        <v>47</v>
      </c>
      <c r="W100" t="str">
        <f>IF(Procurement[[#This Row],[Delivery Days]]&gt;0,"Late",IF(Procurement[[#This Row],[Delivery Days]]=0,"On Time","Early"))</f>
        <v>Late</v>
      </c>
      <c r="X100" t="str">
        <f>IF(Procurement[[#This Row],[ Warranty Period (Months) ]]&lt;24,"Short",IF(Procurement[[#This Row],[ Warranty Period (Months) ]]&lt;36,"Medium","Long"))</f>
        <v>Medium</v>
      </c>
    </row>
    <row r="101" spans="1:24" x14ac:dyDescent="0.3">
      <c r="A101" s="2">
        <v>100</v>
      </c>
      <c r="B101" t="s">
        <v>495</v>
      </c>
      <c r="C101" t="s">
        <v>496</v>
      </c>
      <c r="D101" t="s">
        <v>497</v>
      </c>
      <c r="E101" t="s">
        <v>238</v>
      </c>
      <c r="F101" t="s">
        <v>498</v>
      </c>
      <c r="G101" s="2">
        <v>1</v>
      </c>
      <c r="H101" s="3">
        <v>40000</v>
      </c>
      <c r="I101" t="s">
        <v>405</v>
      </c>
      <c r="J101" t="s">
        <v>64</v>
      </c>
      <c r="K101" s="2">
        <v>6677889900</v>
      </c>
      <c r="L101" t="s">
        <v>461</v>
      </c>
      <c r="M101" t="s">
        <v>66</v>
      </c>
      <c r="N101" s="4">
        <v>45356</v>
      </c>
      <c r="O101" s="4">
        <v>45379</v>
      </c>
      <c r="P101">
        <f>Procurement[[#This Row],[ Date Delivered ]]-Procurement[[#This Row],[ Date Ordered ]]</f>
        <v>23</v>
      </c>
      <c r="Q101" s="2">
        <v>36</v>
      </c>
      <c r="R101" s="3">
        <v>2000</v>
      </c>
      <c r="S101" s="3">
        <v>1200</v>
      </c>
      <c r="T101" s="3">
        <f>Procurement[[#This Row],[ Quantity ]]*Procurement[[#This Row],[ Unit Price (USD) ]]</f>
        <v>40000</v>
      </c>
      <c r="U101" s="3">
        <f>Procurement[[#This Row],[Total Procurement Cost]]+Procurement[[#This Row],[ Maintenance Cost (USD/year) ]]+Procurement[[#This Row],[ Installation Cost (USD) ]]</f>
        <v>43200</v>
      </c>
      <c r="V101" t="s">
        <v>28</v>
      </c>
      <c r="W101" t="str">
        <f>IF(Procurement[[#This Row],[Delivery Days]]&gt;0,"Late",IF(Procurement[[#This Row],[Delivery Days]]=0,"On Time","Early"))</f>
        <v>Late</v>
      </c>
      <c r="X101" t="str">
        <f>IF(Procurement[[#This Row],[ Warranty Period (Months) ]]&lt;24,"Short",IF(Procurement[[#This Row],[ Warranty Period (Months) ]]&lt;36,"Medium","Long"))</f>
        <v>Long</v>
      </c>
    </row>
    <row r="102" spans="1:24" x14ac:dyDescent="0.3">
      <c r="A102" s="2">
        <v>101</v>
      </c>
      <c r="B102" t="s">
        <v>499</v>
      </c>
      <c r="C102" t="s">
        <v>500</v>
      </c>
      <c r="D102" t="s">
        <v>501</v>
      </c>
      <c r="E102" t="s">
        <v>216</v>
      </c>
      <c r="F102" t="s">
        <v>398</v>
      </c>
      <c r="G102" s="2">
        <v>1</v>
      </c>
      <c r="H102" s="3">
        <v>8000</v>
      </c>
      <c r="I102" t="s">
        <v>322</v>
      </c>
      <c r="J102" t="s">
        <v>219</v>
      </c>
      <c r="K102" s="2">
        <v>7755332211</v>
      </c>
      <c r="L102" t="s">
        <v>452</v>
      </c>
      <c r="M102" t="s">
        <v>221</v>
      </c>
      <c r="N102" s="4">
        <v>45342</v>
      </c>
      <c r="O102" s="4">
        <v>45369</v>
      </c>
      <c r="P102">
        <f>Procurement[[#This Row],[ Date Delivered ]]-Procurement[[#This Row],[ Date Ordered ]]</f>
        <v>27</v>
      </c>
      <c r="Q102" s="2">
        <v>24</v>
      </c>
      <c r="R102" s="3">
        <v>1000</v>
      </c>
      <c r="S102" s="3">
        <v>500</v>
      </c>
      <c r="T102" s="3">
        <f>Procurement[[#This Row],[ Quantity ]]*Procurement[[#This Row],[ Unit Price (USD) ]]</f>
        <v>8000</v>
      </c>
      <c r="U102" s="3">
        <f>Procurement[[#This Row],[Total Procurement Cost]]+Procurement[[#This Row],[ Maintenance Cost (USD/year) ]]+Procurement[[#This Row],[ Installation Cost (USD) ]]</f>
        <v>9500</v>
      </c>
      <c r="V102" t="s">
        <v>47</v>
      </c>
      <c r="W102" t="str">
        <f>IF(Procurement[[#This Row],[Delivery Days]]&gt;0,"Late",IF(Procurement[[#This Row],[Delivery Days]]=0,"On Time","Early"))</f>
        <v>Late</v>
      </c>
      <c r="X102" t="str">
        <f>IF(Procurement[[#This Row],[ Warranty Period (Months) ]]&lt;24,"Short",IF(Procurement[[#This Row],[ Warranty Period (Months) ]]&lt;36,"Medium","Long"))</f>
        <v>Medium</v>
      </c>
    </row>
    <row r="103" spans="1:24" x14ac:dyDescent="0.3">
      <c r="A103" s="2">
        <v>102</v>
      </c>
      <c r="B103" t="s">
        <v>502</v>
      </c>
      <c r="C103" t="s">
        <v>449</v>
      </c>
      <c r="D103" t="s">
        <v>450</v>
      </c>
      <c r="E103" t="s">
        <v>238</v>
      </c>
      <c r="F103" t="s">
        <v>473</v>
      </c>
      <c r="G103" s="2">
        <v>1</v>
      </c>
      <c r="H103" s="3">
        <v>30000</v>
      </c>
      <c r="I103" t="s">
        <v>401</v>
      </c>
      <c r="J103" t="s">
        <v>91</v>
      </c>
      <c r="K103" s="2">
        <v>6677889900</v>
      </c>
      <c r="L103" t="s">
        <v>474</v>
      </c>
      <c r="M103" t="s">
        <v>93</v>
      </c>
      <c r="N103" s="4">
        <v>45350</v>
      </c>
      <c r="O103" s="4">
        <v>45376</v>
      </c>
      <c r="P103">
        <f>Procurement[[#This Row],[ Date Delivered ]]-Procurement[[#This Row],[ Date Ordered ]]</f>
        <v>26</v>
      </c>
      <c r="Q103" s="2">
        <v>36</v>
      </c>
      <c r="R103" s="3">
        <v>1500</v>
      </c>
      <c r="S103" s="3">
        <v>800</v>
      </c>
      <c r="T103" s="3">
        <f>Procurement[[#This Row],[ Quantity ]]*Procurement[[#This Row],[ Unit Price (USD) ]]</f>
        <v>30000</v>
      </c>
      <c r="U103" s="3">
        <f>Procurement[[#This Row],[Total Procurement Cost]]+Procurement[[#This Row],[ Maintenance Cost (USD/year) ]]+Procurement[[#This Row],[ Installation Cost (USD) ]]</f>
        <v>32300</v>
      </c>
      <c r="V103" t="s">
        <v>57</v>
      </c>
      <c r="W103" t="str">
        <f>IF(Procurement[[#This Row],[Delivery Days]]&gt;0,"Late",IF(Procurement[[#This Row],[Delivery Days]]=0,"On Time","Early"))</f>
        <v>Late</v>
      </c>
      <c r="X103" t="str">
        <f>IF(Procurement[[#This Row],[ Warranty Period (Months) ]]&lt;24,"Short",IF(Procurement[[#This Row],[ Warranty Period (Months) ]]&lt;36,"Medium","Long"))</f>
        <v>Long</v>
      </c>
    </row>
    <row r="104" spans="1:24" x14ac:dyDescent="0.3">
      <c r="A104" s="2">
        <v>103</v>
      </c>
      <c r="B104" t="s">
        <v>503</v>
      </c>
      <c r="C104" t="s">
        <v>454</v>
      </c>
      <c r="D104" t="s">
        <v>455</v>
      </c>
      <c r="E104" t="s">
        <v>231</v>
      </c>
      <c r="F104" t="s">
        <v>465</v>
      </c>
      <c r="G104" s="2">
        <v>1</v>
      </c>
      <c r="H104" s="3">
        <v>20000</v>
      </c>
      <c r="I104" t="s">
        <v>380</v>
      </c>
      <c r="J104" t="s">
        <v>44</v>
      </c>
      <c r="K104" s="2">
        <v>3322114455</v>
      </c>
      <c r="L104" t="s">
        <v>466</v>
      </c>
      <c r="M104" t="s">
        <v>46</v>
      </c>
      <c r="N104" s="4">
        <v>45384</v>
      </c>
      <c r="O104" s="4">
        <v>45407</v>
      </c>
      <c r="P104">
        <f>Procurement[[#This Row],[ Date Delivered ]]-Procurement[[#This Row],[ Date Ordered ]]</f>
        <v>23</v>
      </c>
      <c r="Q104" s="2">
        <v>36</v>
      </c>
      <c r="R104" s="3">
        <v>2500</v>
      </c>
      <c r="S104" s="3">
        <v>1500</v>
      </c>
      <c r="T104" s="3">
        <f>Procurement[[#This Row],[ Quantity ]]*Procurement[[#This Row],[ Unit Price (USD) ]]</f>
        <v>20000</v>
      </c>
      <c r="U104" s="3">
        <f>Procurement[[#This Row],[Total Procurement Cost]]+Procurement[[#This Row],[ Maintenance Cost (USD/year) ]]+Procurement[[#This Row],[ Installation Cost (USD) ]]</f>
        <v>24000</v>
      </c>
      <c r="V104" t="s">
        <v>28</v>
      </c>
      <c r="W104" t="str">
        <f>IF(Procurement[[#This Row],[Delivery Days]]&gt;0,"Late",IF(Procurement[[#This Row],[Delivery Days]]=0,"On Time","Early"))</f>
        <v>Late</v>
      </c>
      <c r="X104" t="str">
        <f>IF(Procurement[[#This Row],[ Warranty Period (Months) ]]&lt;24,"Short",IF(Procurement[[#This Row],[ Warranty Period (Months) ]]&lt;36,"Medium","Long"))</f>
        <v>Long</v>
      </c>
    </row>
    <row r="105" spans="1:24" x14ac:dyDescent="0.3">
      <c r="A105" s="2">
        <v>104</v>
      </c>
      <c r="B105" t="s">
        <v>504</v>
      </c>
      <c r="C105" t="s">
        <v>458</v>
      </c>
      <c r="D105" t="s">
        <v>459</v>
      </c>
      <c r="E105" t="s">
        <v>216</v>
      </c>
      <c r="F105" t="s">
        <v>494</v>
      </c>
      <c r="G105" s="2">
        <v>1</v>
      </c>
      <c r="H105" s="3">
        <v>5000</v>
      </c>
      <c r="I105" t="s">
        <v>322</v>
      </c>
      <c r="J105" t="s">
        <v>219</v>
      </c>
      <c r="K105" s="2">
        <v>7755332211</v>
      </c>
      <c r="L105" t="s">
        <v>452</v>
      </c>
      <c r="M105" t="s">
        <v>221</v>
      </c>
      <c r="N105" s="4">
        <v>45301</v>
      </c>
      <c r="O105" s="4">
        <v>45327</v>
      </c>
      <c r="P105">
        <f>Procurement[[#This Row],[ Date Delivered ]]-Procurement[[#This Row],[ Date Ordered ]]</f>
        <v>26</v>
      </c>
      <c r="Q105" s="2">
        <v>24</v>
      </c>
      <c r="R105" s="3">
        <v>800</v>
      </c>
      <c r="S105" s="3">
        <v>500</v>
      </c>
      <c r="T105" s="3">
        <f>Procurement[[#This Row],[ Quantity ]]*Procurement[[#This Row],[ Unit Price (USD) ]]</f>
        <v>5000</v>
      </c>
      <c r="U105" s="3">
        <f>Procurement[[#This Row],[Total Procurement Cost]]+Procurement[[#This Row],[ Maintenance Cost (USD/year) ]]+Procurement[[#This Row],[ Installation Cost (USD) ]]</f>
        <v>6300</v>
      </c>
      <c r="V105" t="s">
        <v>47</v>
      </c>
      <c r="W105" t="str">
        <f>IF(Procurement[[#This Row],[Delivery Days]]&gt;0,"Late",IF(Procurement[[#This Row],[Delivery Days]]=0,"On Time","Early"))</f>
        <v>Late</v>
      </c>
      <c r="X105" t="str">
        <f>IF(Procurement[[#This Row],[ Warranty Period (Months) ]]&lt;24,"Short",IF(Procurement[[#This Row],[ Warranty Period (Months) ]]&lt;36,"Medium","Long"))</f>
        <v>Medium</v>
      </c>
    </row>
    <row r="106" spans="1:24" x14ac:dyDescent="0.3">
      <c r="A106" s="2">
        <v>105</v>
      </c>
      <c r="B106" t="s">
        <v>505</v>
      </c>
      <c r="C106" t="s">
        <v>463</v>
      </c>
      <c r="D106" t="s">
        <v>464</v>
      </c>
      <c r="E106" t="s">
        <v>238</v>
      </c>
      <c r="F106" t="s">
        <v>498</v>
      </c>
      <c r="G106" s="2">
        <v>1</v>
      </c>
      <c r="H106" s="3">
        <v>40000</v>
      </c>
      <c r="I106" t="s">
        <v>405</v>
      </c>
      <c r="J106" t="s">
        <v>64</v>
      </c>
      <c r="K106" s="2">
        <v>6677889900</v>
      </c>
      <c r="L106" t="s">
        <v>461</v>
      </c>
      <c r="M106" t="s">
        <v>66</v>
      </c>
      <c r="N106" s="4">
        <v>45356</v>
      </c>
      <c r="O106" s="4">
        <v>45379</v>
      </c>
      <c r="P106">
        <f>Procurement[[#This Row],[ Date Delivered ]]-Procurement[[#This Row],[ Date Ordered ]]</f>
        <v>23</v>
      </c>
      <c r="Q106" s="2">
        <v>36</v>
      </c>
      <c r="R106" s="3">
        <v>2000</v>
      </c>
      <c r="S106" s="3">
        <v>1200</v>
      </c>
      <c r="T106" s="3">
        <f>Procurement[[#This Row],[ Quantity ]]*Procurement[[#This Row],[ Unit Price (USD) ]]</f>
        <v>40000</v>
      </c>
      <c r="U106" s="3">
        <f>Procurement[[#This Row],[Total Procurement Cost]]+Procurement[[#This Row],[ Maintenance Cost (USD/year) ]]+Procurement[[#This Row],[ Installation Cost (USD) ]]</f>
        <v>43200</v>
      </c>
      <c r="V106" t="s">
        <v>28</v>
      </c>
      <c r="W106" t="str">
        <f>IF(Procurement[[#This Row],[Delivery Days]]&gt;0,"Late",IF(Procurement[[#This Row],[Delivery Days]]=0,"On Time","Early"))</f>
        <v>Late</v>
      </c>
      <c r="X106" t="str">
        <f>IF(Procurement[[#This Row],[ Warranty Period (Months) ]]&lt;24,"Short",IF(Procurement[[#This Row],[ Warranty Period (Months) ]]&lt;36,"Medium","Long"))</f>
        <v>Long</v>
      </c>
    </row>
    <row r="107" spans="1:24" x14ac:dyDescent="0.3">
      <c r="A107" s="2">
        <v>106</v>
      </c>
      <c r="B107" t="s">
        <v>485</v>
      </c>
      <c r="C107" t="s">
        <v>486</v>
      </c>
      <c r="D107" t="s">
        <v>487</v>
      </c>
      <c r="E107" t="s">
        <v>114</v>
      </c>
      <c r="F107" t="s">
        <v>477</v>
      </c>
      <c r="G107" s="2">
        <v>1</v>
      </c>
      <c r="H107" s="3">
        <v>40000</v>
      </c>
      <c r="I107" t="s">
        <v>272</v>
      </c>
      <c r="J107" t="s">
        <v>54</v>
      </c>
      <c r="K107" s="2">
        <v>7755332211</v>
      </c>
      <c r="L107" t="s">
        <v>478</v>
      </c>
      <c r="M107" t="s">
        <v>56</v>
      </c>
      <c r="N107" s="4">
        <v>45311</v>
      </c>
      <c r="O107" s="4">
        <v>45337</v>
      </c>
      <c r="P107">
        <f>Procurement[[#This Row],[ Date Delivered ]]-Procurement[[#This Row],[ Date Ordered ]]</f>
        <v>26</v>
      </c>
      <c r="Q107" s="2">
        <v>48</v>
      </c>
      <c r="R107" s="3">
        <v>2000</v>
      </c>
      <c r="S107" s="3">
        <v>1200</v>
      </c>
      <c r="T107" s="3">
        <f>Procurement[[#This Row],[ Quantity ]]*Procurement[[#This Row],[ Unit Price (USD) ]]</f>
        <v>40000</v>
      </c>
      <c r="U107" s="3">
        <f>Procurement[[#This Row],[Total Procurement Cost]]+Procurement[[#This Row],[ Maintenance Cost (USD/year) ]]+Procurement[[#This Row],[ Installation Cost (USD) ]]</f>
        <v>43200</v>
      </c>
      <c r="V107" t="s">
        <v>28</v>
      </c>
      <c r="W107" t="str">
        <f>IF(Procurement[[#This Row],[Delivery Days]]&gt;0,"Late",IF(Procurement[[#This Row],[Delivery Days]]=0,"On Time","Early"))</f>
        <v>Late</v>
      </c>
      <c r="X107" t="str">
        <f>IF(Procurement[[#This Row],[ Warranty Period (Months) ]]&lt;24,"Short",IF(Procurement[[#This Row],[ Warranty Period (Months) ]]&lt;36,"Medium","Long"))</f>
        <v>Long</v>
      </c>
    </row>
    <row r="108" spans="1:24" x14ac:dyDescent="0.3">
      <c r="A108" s="2">
        <v>107</v>
      </c>
      <c r="B108" t="s">
        <v>506</v>
      </c>
      <c r="C108" t="s">
        <v>407</v>
      </c>
      <c r="D108" t="s">
        <v>490</v>
      </c>
      <c r="E108" t="s">
        <v>231</v>
      </c>
      <c r="F108" t="s">
        <v>482</v>
      </c>
      <c r="G108" s="2">
        <v>1</v>
      </c>
      <c r="H108" s="3">
        <v>60000</v>
      </c>
      <c r="I108" t="s">
        <v>483</v>
      </c>
      <c r="J108" t="s">
        <v>143</v>
      </c>
      <c r="K108" s="2">
        <v>3322114455</v>
      </c>
      <c r="L108" t="s">
        <v>484</v>
      </c>
      <c r="M108" t="s">
        <v>145</v>
      </c>
      <c r="N108" s="4">
        <v>45392</v>
      </c>
      <c r="O108" s="4">
        <v>45417</v>
      </c>
      <c r="P108">
        <f>Procurement[[#This Row],[ Date Delivered ]]-Procurement[[#This Row],[ Date Ordered ]]</f>
        <v>25</v>
      </c>
      <c r="Q108" s="2">
        <v>48</v>
      </c>
      <c r="R108" s="3">
        <v>2500</v>
      </c>
      <c r="S108" s="3">
        <v>1500</v>
      </c>
      <c r="T108" s="3">
        <f>Procurement[[#This Row],[ Quantity ]]*Procurement[[#This Row],[ Unit Price (USD) ]]</f>
        <v>60000</v>
      </c>
      <c r="U108" s="3">
        <f>Procurement[[#This Row],[Total Procurement Cost]]+Procurement[[#This Row],[ Maintenance Cost (USD/year) ]]+Procurement[[#This Row],[ Installation Cost (USD) ]]</f>
        <v>64000</v>
      </c>
      <c r="V108" t="s">
        <v>28</v>
      </c>
      <c r="W108" t="str">
        <f>IF(Procurement[[#This Row],[Delivery Days]]&gt;0,"Late",IF(Procurement[[#This Row],[Delivery Days]]=0,"On Time","Early"))</f>
        <v>Late</v>
      </c>
      <c r="X108" t="str">
        <f>IF(Procurement[[#This Row],[ Warranty Period (Months) ]]&lt;24,"Short",IF(Procurement[[#This Row],[ Warranty Period (Months) ]]&lt;36,"Medium","Long"))</f>
        <v>Long</v>
      </c>
    </row>
    <row r="109" spans="1:24" x14ac:dyDescent="0.3">
      <c r="A109" s="2">
        <v>108</v>
      </c>
      <c r="B109" t="s">
        <v>507</v>
      </c>
      <c r="C109" t="s">
        <v>492</v>
      </c>
      <c r="D109" t="s">
        <v>493</v>
      </c>
      <c r="E109" t="s">
        <v>231</v>
      </c>
      <c r="F109" t="s">
        <v>488</v>
      </c>
      <c r="G109" s="2">
        <v>1</v>
      </c>
      <c r="H109" s="3">
        <v>50000</v>
      </c>
      <c r="I109" t="s">
        <v>335</v>
      </c>
      <c r="J109" t="s">
        <v>44</v>
      </c>
      <c r="K109" s="2">
        <v>3322114455</v>
      </c>
      <c r="L109" t="s">
        <v>470</v>
      </c>
      <c r="M109" t="s">
        <v>46</v>
      </c>
      <c r="N109" s="4">
        <v>45356</v>
      </c>
      <c r="O109" s="4">
        <v>45379</v>
      </c>
      <c r="P109">
        <f>Procurement[[#This Row],[ Date Delivered ]]-Procurement[[#This Row],[ Date Ordered ]]</f>
        <v>23</v>
      </c>
      <c r="Q109" s="2">
        <v>36</v>
      </c>
      <c r="R109" s="3">
        <v>1800</v>
      </c>
      <c r="S109" s="3">
        <v>1000</v>
      </c>
      <c r="T109" s="3">
        <f>Procurement[[#This Row],[ Quantity ]]*Procurement[[#This Row],[ Unit Price (USD) ]]</f>
        <v>50000</v>
      </c>
      <c r="U109" s="3">
        <f>Procurement[[#This Row],[Total Procurement Cost]]+Procurement[[#This Row],[ Maintenance Cost (USD/year) ]]+Procurement[[#This Row],[ Installation Cost (USD) ]]</f>
        <v>52800</v>
      </c>
      <c r="V109" t="s">
        <v>47</v>
      </c>
      <c r="W109" t="str">
        <f>IF(Procurement[[#This Row],[Delivery Days]]&gt;0,"Late",IF(Procurement[[#This Row],[Delivery Days]]=0,"On Time","Early"))</f>
        <v>Late</v>
      </c>
      <c r="X109" t="str">
        <f>IF(Procurement[[#This Row],[ Warranty Period (Months) ]]&lt;24,"Short",IF(Procurement[[#This Row],[ Warranty Period (Months) ]]&lt;36,"Medium","Long"))</f>
        <v>Long</v>
      </c>
    </row>
    <row r="110" spans="1:24" x14ac:dyDescent="0.3">
      <c r="A110" s="2">
        <v>109</v>
      </c>
      <c r="B110" t="s">
        <v>508</v>
      </c>
      <c r="C110" t="s">
        <v>496</v>
      </c>
      <c r="D110" t="s">
        <v>497</v>
      </c>
      <c r="E110" t="s">
        <v>216</v>
      </c>
      <c r="F110" t="s">
        <v>509</v>
      </c>
      <c r="G110" s="2">
        <v>1</v>
      </c>
      <c r="H110" s="3">
        <v>5000</v>
      </c>
      <c r="I110" t="s">
        <v>322</v>
      </c>
      <c r="J110" t="s">
        <v>219</v>
      </c>
      <c r="K110" s="2">
        <v>7755332211</v>
      </c>
      <c r="L110" t="s">
        <v>452</v>
      </c>
      <c r="M110" t="s">
        <v>221</v>
      </c>
      <c r="N110" s="4">
        <v>45342</v>
      </c>
      <c r="O110" s="4">
        <v>45369</v>
      </c>
      <c r="P110">
        <f>Procurement[[#This Row],[ Date Delivered ]]-Procurement[[#This Row],[ Date Ordered ]]</f>
        <v>27</v>
      </c>
      <c r="Q110" s="2">
        <v>24</v>
      </c>
      <c r="R110" s="3">
        <v>800</v>
      </c>
      <c r="S110" s="3">
        <v>500</v>
      </c>
      <c r="T110" s="3">
        <f>Procurement[[#This Row],[ Quantity ]]*Procurement[[#This Row],[ Unit Price (USD) ]]</f>
        <v>5000</v>
      </c>
      <c r="U110" s="3">
        <f>Procurement[[#This Row],[Total Procurement Cost]]+Procurement[[#This Row],[ Maintenance Cost (USD/year) ]]+Procurement[[#This Row],[ Installation Cost (USD) ]]</f>
        <v>6300</v>
      </c>
      <c r="V110" t="s">
        <v>47</v>
      </c>
      <c r="W110" t="str">
        <f>IF(Procurement[[#This Row],[Delivery Days]]&gt;0,"Late",IF(Procurement[[#This Row],[Delivery Days]]=0,"On Time","Early"))</f>
        <v>Late</v>
      </c>
      <c r="X110" t="str">
        <f>IF(Procurement[[#This Row],[ Warranty Period (Months) ]]&lt;24,"Short",IF(Procurement[[#This Row],[ Warranty Period (Months) ]]&lt;36,"Medium","Long"))</f>
        <v>Medium</v>
      </c>
    </row>
    <row r="111" spans="1:24" x14ac:dyDescent="0.3">
      <c r="A111" s="2">
        <v>110</v>
      </c>
      <c r="B111" t="s">
        <v>510</v>
      </c>
      <c r="C111" t="s">
        <v>445</v>
      </c>
      <c r="D111" t="s">
        <v>511</v>
      </c>
      <c r="E111" t="s">
        <v>216</v>
      </c>
      <c r="F111" t="s">
        <v>494</v>
      </c>
      <c r="G111" s="2">
        <v>1</v>
      </c>
      <c r="H111" s="3">
        <v>5000</v>
      </c>
      <c r="I111" t="s">
        <v>322</v>
      </c>
      <c r="J111" t="s">
        <v>219</v>
      </c>
      <c r="K111" s="2">
        <v>7755332211</v>
      </c>
      <c r="L111" t="s">
        <v>452</v>
      </c>
      <c r="M111" t="s">
        <v>221</v>
      </c>
      <c r="N111" s="4">
        <v>45301</v>
      </c>
      <c r="O111" s="4">
        <v>45327</v>
      </c>
      <c r="P111">
        <f>Procurement[[#This Row],[ Date Delivered ]]-Procurement[[#This Row],[ Date Ordered ]]</f>
        <v>26</v>
      </c>
      <c r="Q111" s="2">
        <v>24</v>
      </c>
      <c r="R111" s="3">
        <v>800</v>
      </c>
      <c r="S111" s="3">
        <v>500</v>
      </c>
      <c r="T111" s="3">
        <f>Procurement[[#This Row],[ Quantity ]]*Procurement[[#This Row],[ Unit Price (USD) ]]</f>
        <v>5000</v>
      </c>
      <c r="U111" s="3">
        <f>Procurement[[#This Row],[Total Procurement Cost]]+Procurement[[#This Row],[ Maintenance Cost (USD/year) ]]+Procurement[[#This Row],[ Installation Cost (USD) ]]</f>
        <v>6300</v>
      </c>
      <c r="V111" t="s">
        <v>47</v>
      </c>
      <c r="W111" t="str">
        <f>IF(Procurement[[#This Row],[Delivery Days]]&gt;0,"Late",IF(Procurement[[#This Row],[Delivery Days]]=0,"On Time","Early"))</f>
        <v>Late</v>
      </c>
      <c r="X111" t="str">
        <f>IF(Procurement[[#This Row],[ Warranty Period (Months) ]]&lt;24,"Short",IF(Procurement[[#This Row],[ Warranty Period (Months) ]]&lt;36,"Medium","Long"))</f>
        <v>Medium</v>
      </c>
    </row>
    <row r="112" spans="1:24" x14ac:dyDescent="0.3">
      <c r="A112" s="2">
        <v>111</v>
      </c>
      <c r="B112" t="s">
        <v>512</v>
      </c>
      <c r="C112" t="s">
        <v>500</v>
      </c>
      <c r="D112" t="s">
        <v>501</v>
      </c>
      <c r="E112" t="s">
        <v>238</v>
      </c>
      <c r="F112" t="s">
        <v>498</v>
      </c>
      <c r="G112" s="2">
        <v>1</v>
      </c>
      <c r="H112" s="3">
        <v>40000</v>
      </c>
      <c r="I112" t="s">
        <v>405</v>
      </c>
      <c r="J112" t="s">
        <v>64</v>
      </c>
      <c r="K112" s="2">
        <v>6677889900</v>
      </c>
      <c r="L112" t="s">
        <v>461</v>
      </c>
      <c r="M112" t="s">
        <v>66</v>
      </c>
      <c r="N112" s="4">
        <v>45356</v>
      </c>
      <c r="O112" s="4">
        <v>45379</v>
      </c>
      <c r="P112">
        <f>Procurement[[#This Row],[ Date Delivered ]]-Procurement[[#This Row],[ Date Ordered ]]</f>
        <v>23</v>
      </c>
      <c r="Q112" s="2">
        <v>36</v>
      </c>
      <c r="R112" s="3">
        <v>2000</v>
      </c>
      <c r="S112" s="3">
        <v>1200</v>
      </c>
      <c r="T112" s="3">
        <f>Procurement[[#This Row],[ Quantity ]]*Procurement[[#This Row],[ Unit Price (USD) ]]</f>
        <v>40000</v>
      </c>
      <c r="U112" s="3">
        <f>Procurement[[#This Row],[Total Procurement Cost]]+Procurement[[#This Row],[ Maintenance Cost (USD/year) ]]+Procurement[[#This Row],[ Installation Cost (USD) ]]</f>
        <v>43200</v>
      </c>
      <c r="V112" t="s">
        <v>28</v>
      </c>
      <c r="W112" t="str">
        <f>IF(Procurement[[#This Row],[Delivery Days]]&gt;0,"Late",IF(Procurement[[#This Row],[Delivery Days]]=0,"On Time","Early"))</f>
        <v>Late</v>
      </c>
      <c r="X112" t="str">
        <f>IF(Procurement[[#This Row],[ Warranty Period (Months) ]]&lt;24,"Short",IF(Procurement[[#This Row],[ Warranty Period (Months) ]]&lt;36,"Medium","Long"))</f>
        <v>Long</v>
      </c>
    </row>
    <row r="113" spans="1:24" x14ac:dyDescent="0.3">
      <c r="A113" s="2">
        <v>112</v>
      </c>
      <c r="B113" t="s">
        <v>513</v>
      </c>
      <c r="C113" t="s">
        <v>449</v>
      </c>
      <c r="D113" t="s">
        <v>450</v>
      </c>
      <c r="E113" t="s">
        <v>114</v>
      </c>
      <c r="F113" t="s">
        <v>477</v>
      </c>
      <c r="G113" s="2">
        <v>1</v>
      </c>
      <c r="H113" s="3">
        <v>40000</v>
      </c>
      <c r="I113" t="s">
        <v>272</v>
      </c>
      <c r="J113" t="s">
        <v>54</v>
      </c>
      <c r="K113" s="2">
        <v>7755332211</v>
      </c>
      <c r="L113" t="s">
        <v>478</v>
      </c>
      <c r="M113" t="s">
        <v>56</v>
      </c>
      <c r="N113" s="4">
        <v>45311</v>
      </c>
      <c r="O113" s="4">
        <v>45337</v>
      </c>
      <c r="P113">
        <f>Procurement[[#This Row],[ Date Delivered ]]-Procurement[[#This Row],[ Date Ordered ]]</f>
        <v>26</v>
      </c>
      <c r="Q113" s="2">
        <v>48</v>
      </c>
      <c r="R113" s="3">
        <v>2000</v>
      </c>
      <c r="S113" s="3">
        <v>1200</v>
      </c>
      <c r="T113" s="3">
        <f>Procurement[[#This Row],[ Quantity ]]*Procurement[[#This Row],[ Unit Price (USD) ]]</f>
        <v>40000</v>
      </c>
      <c r="U113" s="3">
        <f>Procurement[[#This Row],[Total Procurement Cost]]+Procurement[[#This Row],[ Maintenance Cost (USD/year) ]]+Procurement[[#This Row],[ Installation Cost (USD) ]]</f>
        <v>43200</v>
      </c>
      <c r="V113" t="s">
        <v>28</v>
      </c>
      <c r="W113" t="str">
        <f>IF(Procurement[[#This Row],[Delivery Days]]&gt;0,"Late",IF(Procurement[[#This Row],[Delivery Days]]=0,"On Time","Early"))</f>
        <v>Late</v>
      </c>
      <c r="X113" t="str">
        <f>IF(Procurement[[#This Row],[ Warranty Period (Months) ]]&lt;24,"Short",IF(Procurement[[#This Row],[ Warranty Period (Months) ]]&lt;36,"Medium","Long"))</f>
        <v>Long</v>
      </c>
    </row>
    <row r="114" spans="1:24" x14ac:dyDescent="0.3">
      <c r="A114" s="2">
        <v>113</v>
      </c>
      <c r="B114" t="s">
        <v>514</v>
      </c>
      <c r="C114" t="s">
        <v>454</v>
      </c>
      <c r="D114" t="s">
        <v>455</v>
      </c>
      <c r="E114" t="s">
        <v>216</v>
      </c>
      <c r="F114" t="s">
        <v>398</v>
      </c>
      <c r="G114" s="2">
        <v>1</v>
      </c>
      <c r="H114" s="3">
        <v>8000</v>
      </c>
      <c r="I114" t="s">
        <v>322</v>
      </c>
      <c r="J114" t="s">
        <v>219</v>
      </c>
      <c r="K114" s="2">
        <v>7755332211</v>
      </c>
      <c r="L114" t="s">
        <v>452</v>
      </c>
      <c r="M114" t="s">
        <v>221</v>
      </c>
      <c r="N114" s="4">
        <v>45342</v>
      </c>
      <c r="O114" s="4">
        <v>45369</v>
      </c>
      <c r="P114">
        <f>Procurement[[#This Row],[ Date Delivered ]]-Procurement[[#This Row],[ Date Ordered ]]</f>
        <v>27</v>
      </c>
      <c r="Q114" s="2">
        <v>24</v>
      </c>
      <c r="R114" s="3">
        <v>1000</v>
      </c>
      <c r="S114" s="3">
        <v>500</v>
      </c>
      <c r="T114" s="3">
        <f>Procurement[[#This Row],[ Quantity ]]*Procurement[[#This Row],[ Unit Price (USD) ]]</f>
        <v>8000</v>
      </c>
      <c r="U114" s="3">
        <f>Procurement[[#This Row],[Total Procurement Cost]]+Procurement[[#This Row],[ Maintenance Cost (USD/year) ]]+Procurement[[#This Row],[ Installation Cost (USD) ]]</f>
        <v>9500</v>
      </c>
      <c r="V114" t="s">
        <v>47</v>
      </c>
      <c r="W114" t="str">
        <f>IF(Procurement[[#This Row],[Delivery Days]]&gt;0,"Late",IF(Procurement[[#This Row],[Delivery Days]]=0,"On Time","Early"))</f>
        <v>Late</v>
      </c>
      <c r="X114" t="str">
        <f>IF(Procurement[[#This Row],[ Warranty Period (Months) ]]&lt;24,"Short",IF(Procurement[[#This Row],[ Warranty Period (Months) ]]&lt;36,"Medium","Long"))</f>
        <v>Medium</v>
      </c>
    </row>
    <row r="115" spans="1:24" x14ac:dyDescent="0.3">
      <c r="A115" s="2">
        <v>114</v>
      </c>
      <c r="B115" t="s">
        <v>515</v>
      </c>
      <c r="C115" t="s">
        <v>458</v>
      </c>
      <c r="D115" t="s">
        <v>459</v>
      </c>
      <c r="E115" t="s">
        <v>231</v>
      </c>
      <c r="F115" t="s">
        <v>379</v>
      </c>
      <c r="G115" s="2">
        <v>1</v>
      </c>
      <c r="H115" s="3">
        <v>20000</v>
      </c>
      <c r="I115" t="s">
        <v>380</v>
      </c>
      <c r="J115" t="s">
        <v>44</v>
      </c>
      <c r="K115" s="2">
        <v>3322114455</v>
      </c>
      <c r="L115" t="s">
        <v>466</v>
      </c>
      <c r="M115" t="s">
        <v>46</v>
      </c>
      <c r="N115" s="4">
        <v>45384</v>
      </c>
      <c r="O115" s="4">
        <v>45407</v>
      </c>
      <c r="P115">
        <f>Procurement[[#This Row],[ Date Delivered ]]-Procurement[[#This Row],[ Date Ordered ]]</f>
        <v>23</v>
      </c>
      <c r="Q115" s="2">
        <v>36</v>
      </c>
      <c r="R115" s="3">
        <v>2500</v>
      </c>
      <c r="S115" s="3">
        <v>1500</v>
      </c>
      <c r="T115" s="3">
        <f>Procurement[[#This Row],[ Quantity ]]*Procurement[[#This Row],[ Unit Price (USD) ]]</f>
        <v>20000</v>
      </c>
      <c r="U115" s="3">
        <f>Procurement[[#This Row],[Total Procurement Cost]]+Procurement[[#This Row],[ Maintenance Cost (USD/year) ]]+Procurement[[#This Row],[ Installation Cost (USD) ]]</f>
        <v>24000</v>
      </c>
      <c r="V115" t="s">
        <v>28</v>
      </c>
      <c r="W115" t="str">
        <f>IF(Procurement[[#This Row],[Delivery Days]]&gt;0,"Late",IF(Procurement[[#This Row],[Delivery Days]]=0,"On Time","Early"))</f>
        <v>Late</v>
      </c>
      <c r="X115" t="str">
        <f>IF(Procurement[[#This Row],[ Warranty Period (Months) ]]&lt;24,"Short",IF(Procurement[[#This Row],[ Warranty Period (Months) ]]&lt;36,"Medium","Long"))</f>
        <v>Long</v>
      </c>
    </row>
    <row r="116" spans="1:24" x14ac:dyDescent="0.3">
      <c r="A116" s="2">
        <v>115</v>
      </c>
      <c r="B116" t="s">
        <v>516</v>
      </c>
      <c r="C116" t="s">
        <v>463</v>
      </c>
      <c r="D116" t="s">
        <v>464</v>
      </c>
      <c r="E116" t="s">
        <v>238</v>
      </c>
      <c r="F116" t="s">
        <v>400</v>
      </c>
      <c r="G116" s="2">
        <v>1</v>
      </c>
      <c r="H116" s="3">
        <v>30000</v>
      </c>
      <c r="I116" t="s">
        <v>401</v>
      </c>
      <c r="J116" t="s">
        <v>91</v>
      </c>
      <c r="K116" s="2">
        <v>6677889900</v>
      </c>
      <c r="L116" t="s">
        <v>474</v>
      </c>
      <c r="M116" t="s">
        <v>93</v>
      </c>
      <c r="N116" s="4">
        <v>45350</v>
      </c>
      <c r="O116" s="4">
        <v>45376</v>
      </c>
      <c r="P116">
        <f>Procurement[[#This Row],[ Date Delivered ]]-Procurement[[#This Row],[ Date Ordered ]]</f>
        <v>26</v>
      </c>
      <c r="Q116" s="2">
        <v>36</v>
      </c>
      <c r="R116" s="3">
        <v>1500</v>
      </c>
      <c r="S116" s="3">
        <v>800</v>
      </c>
      <c r="T116" s="3">
        <f>Procurement[[#This Row],[ Quantity ]]*Procurement[[#This Row],[ Unit Price (USD) ]]</f>
        <v>30000</v>
      </c>
      <c r="U116" s="3">
        <f>Procurement[[#This Row],[Total Procurement Cost]]+Procurement[[#This Row],[ Maintenance Cost (USD/year) ]]+Procurement[[#This Row],[ Installation Cost (USD) ]]</f>
        <v>32300</v>
      </c>
      <c r="V116" t="s">
        <v>57</v>
      </c>
      <c r="W116" t="str">
        <f>IF(Procurement[[#This Row],[Delivery Days]]&gt;0,"Late",IF(Procurement[[#This Row],[Delivery Days]]=0,"On Time","Early"))</f>
        <v>Late</v>
      </c>
      <c r="X116" t="str">
        <f>IF(Procurement[[#This Row],[ Warranty Period (Months) ]]&lt;24,"Short",IF(Procurement[[#This Row],[ Warranty Period (Months) ]]&lt;36,"Medium","Long"))</f>
        <v>Long</v>
      </c>
    </row>
    <row r="117" spans="1:24" x14ac:dyDescent="0.3">
      <c r="A117" s="2">
        <v>116</v>
      </c>
      <c r="B117" t="s">
        <v>485</v>
      </c>
      <c r="C117" t="s">
        <v>486</v>
      </c>
      <c r="D117" t="s">
        <v>487</v>
      </c>
      <c r="E117" t="s">
        <v>216</v>
      </c>
      <c r="F117" t="s">
        <v>428</v>
      </c>
      <c r="G117" s="2">
        <v>1</v>
      </c>
      <c r="H117" s="3">
        <v>5000</v>
      </c>
      <c r="I117" t="s">
        <v>322</v>
      </c>
      <c r="J117" t="s">
        <v>219</v>
      </c>
      <c r="K117" s="2">
        <v>7755332211</v>
      </c>
      <c r="L117" t="s">
        <v>452</v>
      </c>
      <c r="M117" t="s">
        <v>221</v>
      </c>
      <c r="N117" s="4">
        <v>45301</v>
      </c>
      <c r="O117" s="4">
        <v>45327</v>
      </c>
      <c r="P117">
        <f>Procurement[[#This Row],[ Date Delivered ]]-Procurement[[#This Row],[ Date Ordered ]]</f>
        <v>26</v>
      </c>
      <c r="Q117" s="2">
        <v>24</v>
      </c>
      <c r="R117" s="3">
        <v>800</v>
      </c>
      <c r="S117" s="3">
        <v>500</v>
      </c>
      <c r="T117" s="3">
        <f>Procurement[[#This Row],[ Quantity ]]*Procurement[[#This Row],[ Unit Price (USD) ]]</f>
        <v>5000</v>
      </c>
      <c r="U117" s="3">
        <f>Procurement[[#This Row],[Total Procurement Cost]]+Procurement[[#This Row],[ Maintenance Cost (USD/year) ]]+Procurement[[#This Row],[ Installation Cost (USD) ]]</f>
        <v>6300</v>
      </c>
      <c r="V117" t="s">
        <v>47</v>
      </c>
      <c r="W117" t="str">
        <f>IF(Procurement[[#This Row],[Delivery Days]]&gt;0,"Late",IF(Procurement[[#This Row],[Delivery Days]]=0,"On Time","Early"))</f>
        <v>Late</v>
      </c>
      <c r="X117" t="str">
        <f>IF(Procurement[[#This Row],[ Warranty Period (Months) ]]&lt;24,"Short",IF(Procurement[[#This Row],[ Warranty Period (Months) ]]&lt;36,"Medium","Long"))</f>
        <v>Medium</v>
      </c>
    </row>
    <row r="118" spans="1:24" x14ac:dyDescent="0.3">
      <c r="A118" s="2">
        <v>117</v>
      </c>
      <c r="B118" t="s">
        <v>517</v>
      </c>
      <c r="C118" t="s">
        <v>407</v>
      </c>
      <c r="D118" t="s">
        <v>490</v>
      </c>
      <c r="E118" t="s">
        <v>238</v>
      </c>
      <c r="F118" t="s">
        <v>518</v>
      </c>
      <c r="G118" s="2">
        <v>1</v>
      </c>
      <c r="H118" s="3">
        <v>80000</v>
      </c>
      <c r="I118" t="s">
        <v>519</v>
      </c>
      <c r="J118" t="s">
        <v>54</v>
      </c>
      <c r="K118" s="2">
        <v>7755332211</v>
      </c>
      <c r="L118" t="s">
        <v>520</v>
      </c>
      <c r="M118" t="s">
        <v>75</v>
      </c>
      <c r="N118" s="4">
        <v>45402</v>
      </c>
      <c r="O118" s="4">
        <v>45427</v>
      </c>
      <c r="P118">
        <f>Procurement[[#This Row],[ Date Delivered ]]-Procurement[[#This Row],[ Date Ordered ]]</f>
        <v>25</v>
      </c>
      <c r="Q118" s="2">
        <v>60</v>
      </c>
      <c r="R118" s="3">
        <v>3000</v>
      </c>
      <c r="S118" s="3">
        <v>2000</v>
      </c>
      <c r="T118" s="3">
        <f>Procurement[[#This Row],[ Quantity ]]*Procurement[[#This Row],[ Unit Price (USD) ]]</f>
        <v>80000</v>
      </c>
      <c r="U118" s="3">
        <f>Procurement[[#This Row],[Total Procurement Cost]]+Procurement[[#This Row],[ Maintenance Cost (USD/year) ]]+Procurement[[#This Row],[ Installation Cost (USD) ]]</f>
        <v>85000</v>
      </c>
      <c r="V118" t="s">
        <v>28</v>
      </c>
      <c r="W118" t="str">
        <f>IF(Procurement[[#This Row],[Delivery Days]]&gt;0,"Late",IF(Procurement[[#This Row],[Delivery Days]]=0,"On Time","Early"))</f>
        <v>Late</v>
      </c>
      <c r="X118" t="str">
        <f>IF(Procurement[[#This Row],[ Warranty Period (Months) ]]&lt;24,"Short",IF(Procurement[[#This Row],[ Warranty Period (Months) ]]&lt;36,"Medium","Long"))</f>
        <v>Long</v>
      </c>
    </row>
    <row r="119" spans="1:24" x14ac:dyDescent="0.3">
      <c r="A119" s="2">
        <v>118</v>
      </c>
      <c r="B119" t="s">
        <v>521</v>
      </c>
      <c r="C119" t="s">
        <v>492</v>
      </c>
      <c r="D119" t="s">
        <v>493</v>
      </c>
      <c r="E119" t="s">
        <v>114</v>
      </c>
      <c r="F119" t="s">
        <v>522</v>
      </c>
      <c r="G119" s="2">
        <v>1</v>
      </c>
      <c r="H119" s="3">
        <v>10000</v>
      </c>
      <c r="I119" t="s">
        <v>523</v>
      </c>
      <c r="J119" t="s">
        <v>524</v>
      </c>
      <c r="K119" s="2">
        <v>3322114455</v>
      </c>
      <c r="L119" t="s">
        <v>525</v>
      </c>
      <c r="M119" t="s">
        <v>27</v>
      </c>
      <c r="N119" s="4">
        <v>45366</v>
      </c>
      <c r="O119" s="4">
        <v>45392</v>
      </c>
      <c r="P119">
        <f>Procurement[[#This Row],[ Date Delivered ]]-Procurement[[#This Row],[ Date Ordered ]]</f>
        <v>26</v>
      </c>
      <c r="Q119" s="2">
        <v>36</v>
      </c>
      <c r="R119" s="3">
        <v>1200</v>
      </c>
      <c r="S119" s="3">
        <v>800</v>
      </c>
      <c r="T119" s="3">
        <f>Procurement[[#This Row],[ Quantity ]]*Procurement[[#This Row],[ Unit Price (USD) ]]</f>
        <v>10000</v>
      </c>
      <c r="U119" s="3">
        <f>Procurement[[#This Row],[Total Procurement Cost]]+Procurement[[#This Row],[ Maintenance Cost (USD/year) ]]+Procurement[[#This Row],[ Installation Cost (USD) ]]</f>
        <v>12000</v>
      </c>
      <c r="V119" t="s">
        <v>28</v>
      </c>
      <c r="W119" t="str">
        <f>IF(Procurement[[#This Row],[Delivery Days]]&gt;0,"Late",IF(Procurement[[#This Row],[Delivery Days]]=0,"On Time","Early"))</f>
        <v>Late</v>
      </c>
      <c r="X119" t="str">
        <f>IF(Procurement[[#This Row],[ Warranty Period (Months) ]]&lt;24,"Short",IF(Procurement[[#This Row],[ Warranty Period (Months) ]]&lt;36,"Medium","Long"))</f>
        <v>Long</v>
      </c>
    </row>
    <row r="120" spans="1:24" x14ac:dyDescent="0.3">
      <c r="A120" s="2">
        <v>119</v>
      </c>
      <c r="B120" t="s">
        <v>526</v>
      </c>
      <c r="C120" t="s">
        <v>496</v>
      </c>
      <c r="D120" t="s">
        <v>497</v>
      </c>
      <c r="E120" t="s">
        <v>231</v>
      </c>
      <c r="F120" t="s">
        <v>488</v>
      </c>
      <c r="G120" s="2">
        <v>1</v>
      </c>
      <c r="H120" s="3">
        <v>50000</v>
      </c>
      <c r="I120" t="s">
        <v>335</v>
      </c>
      <c r="J120" t="s">
        <v>44</v>
      </c>
      <c r="K120" s="2">
        <v>3322114455</v>
      </c>
      <c r="L120" t="s">
        <v>470</v>
      </c>
      <c r="M120" t="s">
        <v>46</v>
      </c>
      <c r="N120" s="4">
        <v>45356</v>
      </c>
      <c r="O120" s="4">
        <v>45379</v>
      </c>
      <c r="P120">
        <f>Procurement[[#This Row],[ Date Delivered ]]-Procurement[[#This Row],[ Date Ordered ]]</f>
        <v>23</v>
      </c>
      <c r="Q120" s="2">
        <v>36</v>
      </c>
      <c r="R120" s="3">
        <v>1800</v>
      </c>
      <c r="S120" s="3">
        <v>1000</v>
      </c>
      <c r="T120" s="3">
        <f>Procurement[[#This Row],[ Quantity ]]*Procurement[[#This Row],[ Unit Price (USD) ]]</f>
        <v>50000</v>
      </c>
      <c r="U120" s="3">
        <f>Procurement[[#This Row],[Total Procurement Cost]]+Procurement[[#This Row],[ Maintenance Cost (USD/year) ]]+Procurement[[#This Row],[ Installation Cost (USD) ]]</f>
        <v>52800</v>
      </c>
      <c r="V120" t="s">
        <v>47</v>
      </c>
      <c r="W120" t="str">
        <f>IF(Procurement[[#This Row],[Delivery Days]]&gt;0,"Late",IF(Procurement[[#This Row],[Delivery Days]]=0,"On Time","Early"))</f>
        <v>Late</v>
      </c>
      <c r="X120" t="str">
        <f>IF(Procurement[[#This Row],[ Warranty Period (Months) ]]&lt;24,"Short",IF(Procurement[[#This Row],[ Warranty Period (Months) ]]&lt;36,"Medium","Long"))</f>
        <v>Long</v>
      </c>
    </row>
    <row r="121" spans="1:24" x14ac:dyDescent="0.3">
      <c r="A121" s="2">
        <v>120</v>
      </c>
      <c r="B121" t="s">
        <v>527</v>
      </c>
      <c r="C121" t="s">
        <v>445</v>
      </c>
      <c r="D121" t="s">
        <v>511</v>
      </c>
      <c r="E121" t="s">
        <v>216</v>
      </c>
      <c r="F121" t="s">
        <v>509</v>
      </c>
      <c r="G121" s="2">
        <v>1</v>
      </c>
      <c r="H121" s="3">
        <v>5000</v>
      </c>
      <c r="I121" t="s">
        <v>322</v>
      </c>
      <c r="J121" t="s">
        <v>219</v>
      </c>
      <c r="K121" s="2">
        <v>7755332211</v>
      </c>
      <c r="L121" t="s">
        <v>452</v>
      </c>
      <c r="M121" t="s">
        <v>221</v>
      </c>
      <c r="N121" s="4">
        <v>45342</v>
      </c>
      <c r="O121" s="4">
        <v>45369</v>
      </c>
      <c r="P121">
        <f>Procurement[[#This Row],[ Date Delivered ]]-Procurement[[#This Row],[ Date Ordered ]]</f>
        <v>27</v>
      </c>
      <c r="Q121" s="2">
        <v>24</v>
      </c>
      <c r="R121" s="3">
        <v>800</v>
      </c>
      <c r="S121" s="3">
        <v>500</v>
      </c>
      <c r="T121" s="3">
        <f>Procurement[[#This Row],[ Quantity ]]*Procurement[[#This Row],[ Unit Price (USD) ]]</f>
        <v>5000</v>
      </c>
      <c r="U121" s="3">
        <f>Procurement[[#This Row],[Total Procurement Cost]]+Procurement[[#This Row],[ Maintenance Cost (USD/year) ]]+Procurement[[#This Row],[ Installation Cost (USD) ]]</f>
        <v>6300</v>
      </c>
      <c r="V121" t="s">
        <v>47</v>
      </c>
      <c r="W121" t="str">
        <f>IF(Procurement[[#This Row],[Delivery Days]]&gt;0,"Late",IF(Procurement[[#This Row],[Delivery Days]]=0,"On Time","Early"))</f>
        <v>Late</v>
      </c>
      <c r="X121" t="str">
        <f>IF(Procurement[[#This Row],[ Warranty Period (Months) ]]&lt;24,"Short",IF(Procurement[[#This Row],[ Warranty Period (Months) ]]&lt;36,"Medium","Long"))</f>
        <v>Medium</v>
      </c>
    </row>
    <row r="122" spans="1:24" x14ac:dyDescent="0.3">
      <c r="A122" s="2">
        <v>121</v>
      </c>
      <c r="B122" t="s">
        <v>499</v>
      </c>
      <c r="C122" t="s">
        <v>500</v>
      </c>
      <c r="D122" t="s">
        <v>501</v>
      </c>
      <c r="E122" t="s">
        <v>114</v>
      </c>
      <c r="F122" t="s">
        <v>522</v>
      </c>
      <c r="G122" s="2">
        <v>1</v>
      </c>
      <c r="H122" s="3">
        <v>10000</v>
      </c>
      <c r="I122" t="s">
        <v>523</v>
      </c>
      <c r="J122" t="s">
        <v>524</v>
      </c>
      <c r="K122" s="2">
        <v>3322114455</v>
      </c>
      <c r="L122" t="s">
        <v>525</v>
      </c>
      <c r="M122" t="s">
        <v>27</v>
      </c>
      <c r="N122" s="4">
        <v>45366</v>
      </c>
      <c r="O122" s="4">
        <v>45392</v>
      </c>
      <c r="P122">
        <f>Procurement[[#This Row],[ Date Delivered ]]-Procurement[[#This Row],[ Date Ordered ]]</f>
        <v>26</v>
      </c>
      <c r="Q122" s="2">
        <v>36</v>
      </c>
      <c r="R122" s="3">
        <v>1200</v>
      </c>
      <c r="S122" s="3">
        <v>800</v>
      </c>
      <c r="T122" s="3">
        <f>Procurement[[#This Row],[ Quantity ]]*Procurement[[#This Row],[ Unit Price (USD) ]]</f>
        <v>10000</v>
      </c>
      <c r="U122" s="3">
        <f>Procurement[[#This Row],[Total Procurement Cost]]+Procurement[[#This Row],[ Maintenance Cost (USD/year) ]]+Procurement[[#This Row],[ Installation Cost (USD) ]]</f>
        <v>12000</v>
      </c>
      <c r="V122" t="s">
        <v>28</v>
      </c>
      <c r="W122" t="str">
        <f>IF(Procurement[[#This Row],[Delivery Days]]&gt;0,"Late",IF(Procurement[[#This Row],[Delivery Days]]=0,"On Time","Early"))</f>
        <v>Late</v>
      </c>
      <c r="X122" t="str">
        <f>IF(Procurement[[#This Row],[ Warranty Period (Months) ]]&lt;24,"Short",IF(Procurement[[#This Row],[ Warranty Period (Months) ]]&lt;36,"Medium","Long"))</f>
        <v>Long</v>
      </c>
    </row>
    <row r="123" spans="1:24" x14ac:dyDescent="0.3">
      <c r="A123" s="2">
        <v>122</v>
      </c>
      <c r="B123" t="s">
        <v>502</v>
      </c>
      <c r="C123" t="s">
        <v>449</v>
      </c>
      <c r="D123" t="s">
        <v>450</v>
      </c>
      <c r="E123" t="s">
        <v>231</v>
      </c>
      <c r="F123" t="s">
        <v>488</v>
      </c>
      <c r="G123" s="2">
        <v>1</v>
      </c>
      <c r="H123" s="3">
        <v>50000</v>
      </c>
      <c r="I123" t="s">
        <v>335</v>
      </c>
      <c r="J123" t="s">
        <v>44</v>
      </c>
      <c r="K123" s="2">
        <v>3322114455</v>
      </c>
      <c r="L123" t="s">
        <v>470</v>
      </c>
      <c r="M123" t="s">
        <v>46</v>
      </c>
      <c r="N123" s="4">
        <v>45356</v>
      </c>
      <c r="O123" s="4">
        <v>45379</v>
      </c>
      <c r="P123">
        <f>Procurement[[#This Row],[ Date Delivered ]]-Procurement[[#This Row],[ Date Ordered ]]</f>
        <v>23</v>
      </c>
      <c r="Q123" s="2">
        <v>36</v>
      </c>
      <c r="R123" s="3">
        <v>1800</v>
      </c>
      <c r="S123" s="3">
        <v>1000</v>
      </c>
      <c r="T123" s="3">
        <f>Procurement[[#This Row],[ Quantity ]]*Procurement[[#This Row],[ Unit Price (USD) ]]</f>
        <v>50000</v>
      </c>
      <c r="U123" s="3">
        <f>Procurement[[#This Row],[Total Procurement Cost]]+Procurement[[#This Row],[ Maintenance Cost (USD/year) ]]+Procurement[[#This Row],[ Installation Cost (USD) ]]</f>
        <v>52800</v>
      </c>
      <c r="V123" t="s">
        <v>47</v>
      </c>
      <c r="W123" t="str">
        <f>IF(Procurement[[#This Row],[Delivery Days]]&gt;0,"Late",IF(Procurement[[#This Row],[Delivery Days]]=0,"On Time","Early"))</f>
        <v>Late</v>
      </c>
      <c r="X123" t="str">
        <f>IF(Procurement[[#This Row],[ Warranty Period (Months) ]]&lt;24,"Short",IF(Procurement[[#This Row],[ Warranty Period (Months) ]]&lt;36,"Medium","Long"))</f>
        <v>Long</v>
      </c>
    </row>
    <row r="124" spans="1:24" x14ac:dyDescent="0.3">
      <c r="A124" s="2">
        <v>123</v>
      </c>
      <c r="B124" t="s">
        <v>503</v>
      </c>
      <c r="C124" t="s">
        <v>454</v>
      </c>
      <c r="D124" t="s">
        <v>455</v>
      </c>
      <c r="E124" t="s">
        <v>216</v>
      </c>
      <c r="F124" t="s">
        <v>398</v>
      </c>
      <c r="G124" s="2">
        <v>1</v>
      </c>
      <c r="H124" s="3">
        <v>8000</v>
      </c>
      <c r="I124" t="s">
        <v>322</v>
      </c>
      <c r="J124" t="s">
        <v>219</v>
      </c>
      <c r="K124" s="2">
        <v>7755332211</v>
      </c>
      <c r="L124" t="s">
        <v>452</v>
      </c>
      <c r="M124" t="s">
        <v>221</v>
      </c>
      <c r="N124" s="4">
        <v>45342</v>
      </c>
      <c r="O124" s="4">
        <v>45369</v>
      </c>
      <c r="P124">
        <f>Procurement[[#This Row],[ Date Delivered ]]-Procurement[[#This Row],[ Date Ordered ]]</f>
        <v>27</v>
      </c>
      <c r="Q124" s="2">
        <v>24</v>
      </c>
      <c r="R124" s="3">
        <v>1000</v>
      </c>
      <c r="S124" s="3">
        <v>500</v>
      </c>
      <c r="T124" s="3">
        <f>Procurement[[#This Row],[ Quantity ]]*Procurement[[#This Row],[ Unit Price (USD) ]]</f>
        <v>8000</v>
      </c>
      <c r="U124" s="3">
        <f>Procurement[[#This Row],[Total Procurement Cost]]+Procurement[[#This Row],[ Maintenance Cost (USD/year) ]]+Procurement[[#This Row],[ Installation Cost (USD) ]]</f>
        <v>9500</v>
      </c>
      <c r="V124" t="s">
        <v>47</v>
      </c>
      <c r="W124" t="str">
        <f>IF(Procurement[[#This Row],[Delivery Days]]&gt;0,"Late",IF(Procurement[[#This Row],[Delivery Days]]=0,"On Time","Early"))</f>
        <v>Late</v>
      </c>
      <c r="X124" t="str">
        <f>IF(Procurement[[#This Row],[ Warranty Period (Months) ]]&lt;24,"Short",IF(Procurement[[#This Row],[ Warranty Period (Months) ]]&lt;36,"Medium","Long"))</f>
        <v>Medium</v>
      </c>
    </row>
    <row r="125" spans="1:24" x14ac:dyDescent="0.3">
      <c r="A125" s="2">
        <v>124</v>
      </c>
      <c r="B125" t="s">
        <v>504</v>
      </c>
      <c r="C125" t="s">
        <v>458</v>
      </c>
      <c r="D125" t="s">
        <v>459</v>
      </c>
      <c r="E125" t="s">
        <v>238</v>
      </c>
      <c r="F125" t="s">
        <v>498</v>
      </c>
      <c r="G125" s="2">
        <v>1</v>
      </c>
      <c r="H125" s="3">
        <v>40000</v>
      </c>
      <c r="I125" t="s">
        <v>405</v>
      </c>
      <c r="J125" t="s">
        <v>64</v>
      </c>
      <c r="K125" s="2">
        <v>6677889900</v>
      </c>
      <c r="L125" t="s">
        <v>461</v>
      </c>
      <c r="M125" t="s">
        <v>66</v>
      </c>
      <c r="N125" s="4">
        <v>45356</v>
      </c>
      <c r="O125" s="4">
        <v>45379</v>
      </c>
      <c r="P125">
        <f>Procurement[[#This Row],[ Date Delivered ]]-Procurement[[#This Row],[ Date Ordered ]]</f>
        <v>23</v>
      </c>
      <c r="Q125" s="2">
        <v>36</v>
      </c>
      <c r="R125" s="3">
        <v>2000</v>
      </c>
      <c r="S125" s="3">
        <v>1200</v>
      </c>
      <c r="T125" s="3">
        <f>Procurement[[#This Row],[ Quantity ]]*Procurement[[#This Row],[ Unit Price (USD) ]]</f>
        <v>40000</v>
      </c>
      <c r="U125" s="3">
        <f>Procurement[[#This Row],[Total Procurement Cost]]+Procurement[[#This Row],[ Maintenance Cost (USD/year) ]]+Procurement[[#This Row],[ Installation Cost (USD) ]]</f>
        <v>43200</v>
      </c>
      <c r="V125" t="s">
        <v>28</v>
      </c>
      <c r="W125" t="str">
        <f>IF(Procurement[[#This Row],[Delivery Days]]&gt;0,"Late",IF(Procurement[[#This Row],[Delivery Days]]=0,"On Time","Early"))</f>
        <v>Late</v>
      </c>
      <c r="X125" t="str">
        <f>IF(Procurement[[#This Row],[ Warranty Period (Months) ]]&lt;24,"Short",IF(Procurement[[#This Row],[ Warranty Period (Months) ]]&lt;36,"Medium","Long"))</f>
        <v>Long</v>
      </c>
    </row>
    <row r="126" spans="1:24" x14ac:dyDescent="0.3">
      <c r="A126" s="2">
        <v>125</v>
      </c>
      <c r="B126" t="s">
        <v>505</v>
      </c>
      <c r="C126" t="s">
        <v>463</v>
      </c>
      <c r="D126" t="s">
        <v>464</v>
      </c>
      <c r="E126" t="s">
        <v>231</v>
      </c>
      <c r="F126" t="s">
        <v>379</v>
      </c>
      <c r="G126" s="2">
        <v>1</v>
      </c>
      <c r="H126" s="3">
        <v>20000</v>
      </c>
      <c r="I126" t="s">
        <v>380</v>
      </c>
      <c r="J126" t="s">
        <v>44</v>
      </c>
      <c r="K126" s="2">
        <v>3322114455</v>
      </c>
      <c r="L126" t="s">
        <v>466</v>
      </c>
      <c r="M126" t="s">
        <v>46</v>
      </c>
      <c r="N126" s="4">
        <v>45384</v>
      </c>
      <c r="O126" s="4">
        <v>45407</v>
      </c>
      <c r="P126">
        <f>Procurement[[#This Row],[ Date Delivered ]]-Procurement[[#This Row],[ Date Ordered ]]</f>
        <v>23</v>
      </c>
      <c r="Q126" s="2">
        <v>36</v>
      </c>
      <c r="R126" s="3">
        <v>2500</v>
      </c>
      <c r="S126" s="3">
        <v>1500</v>
      </c>
      <c r="T126" s="3">
        <f>Procurement[[#This Row],[ Quantity ]]*Procurement[[#This Row],[ Unit Price (USD) ]]</f>
        <v>20000</v>
      </c>
      <c r="U126" s="3">
        <f>Procurement[[#This Row],[Total Procurement Cost]]+Procurement[[#This Row],[ Maintenance Cost (USD/year) ]]+Procurement[[#This Row],[ Installation Cost (USD) ]]</f>
        <v>24000</v>
      </c>
      <c r="V126" t="s">
        <v>28</v>
      </c>
      <c r="W126" t="str">
        <f>IF(Procurement[[#This Row],[Delivery Days]]&gt;0,"Late",IF(Procurement[[#This Row],[Delivery Days]]=0,"On Time","Early"))</f>
        <v>Late</v>
      </c>
      <c r="X126" t="str">
        <f>IF(Procurement[[#This Row],[ Warranty Period (Months) ]]&lt;24,"Short",IF(Procurement[[#This Row],[ Warranty Period (Months) ]]&lt;36,"Medium","Long"))</f>
        <v>Long</v>
      </c>
    </row>
    <row r="127" spans="1:24" x14ac:dyDescent="0.3">
      <c r="A127" s="2">
        <v>126</v>
      </c>
      <c r="B127" t="s">
        <v>485</v>
      </c>
      <c r="C127" t="s">
        <v>486</v>
      </c>
      <c r="D127" t="s">
        <v>487</v>
      </c>
      <c r="E127" t="s">
        <v>216</v>
      </c>
      <c r="F127" t="s">
        <v>428</v>
      </c>
      <c r="G127" s="2">
        <v>1</v>
      </c>
      <c r="H127" s="3">
        <v>5000</v>
      </c>
      <c r="I127" t="s">
        <v>322</v>
      </c>
      <c r="J127" t="s">
        <v>219</v>
      </c>
      <c r="K127" s="2">
        <v>7755332211</v>
      </c>
      <c r="L127" t="s">
        <v>452</v>
      </c>
      <c r="M127" t="s">
        <v>221</v>
      </c>
      <c r="N127" s="4">
        <v>45301</v>
      </c>
      <c r="O127" s="4">
        <v>45327</v>
      </c>
      <c r="P127">
        <f>Procurement[[#This Row],[ Date Delivered ]]-Procurement[[#This Row],[ Date Ordered ]]</f>
        <v>26</v>
      </c>
      <c r="Q127" s="2">
        <v>24</v>
      </c>
      <c r="R127" s="3">
        <v>800</v>
      </c>
      <c r="S127" s="3">
        <v>500</v>
      </c>
      <c r="T127" s="3">
        <f>Procurement[[#This Row],[ Quantity ]]*Procurement[[#This Row],[ Unit Price (USD) ]]</f>
        <v>5000</v>
      </c>
      <c r="U127" s="3">
        <f>Procurement[[#This Row],[Total Procurement Cost]]+Procurement[[#This Row],[ Maintenance Cost (USD/year) ]]+Procurement[[#This Row],[ Installation Cost (USD) ]]</f>
        <v>6300</v>
      </c>
      <c r="V127" t="s">
        <v>47</v>
      </c>
      <c r="W127" t="str">
        <f>IF(Procurement[[#This Row],[Delivery Days]]&gt;0,"Late",IF(Procurement[[#This Row],[Delivery Days]]=0,"On Time","Early"))</f>
        <v>Late</v>
      </c>
      <c r="X127" t="str">
        <f>IF(Procurement[[#This Row],[ Warranty Period (Months) ]]&lt;24,"Short",IF(Procurement[[#This Row],[ Warranty Period (Months) ]]&lt;36,"Medium","Long"))</f>
        <v>Medium</v>
      </c>
    </row>
    <row r="128" spans="1:24" x14ac:dyDescent="0.3">
      <c r="A128" s="2">
        <v>127</v>
      </c>
      <c r="B128" t="s">
        <v>517</v>
      </c>
      <c r="C128" t="s">
        <v>407</v>
      </c>
      <c r="D128" t="s">
        <v>490</v>
      </c>
      <c r="E128" t="s">
        <v>238</v>
      </c>
      <c r="F128" t="s">
        <v>518</v>
      </c>
      <c r="G128" s="2">
        <v>1</v>
      </c>
      <c r="H128" s="3">
        <v>80000</v>
      </c>
      <c r="I128" t="s">
        <v>519</v>
      </c>
      <c r="J128" t="s">
        <v>54</v>
      </c>
      <c r="K128" s="2">
        <v>7755332211</v>
      </c>
      <c r="L128" t="s">
        <v>520</v>
      </c>
      <c r="M128" t="s">
        <v>75</v>
      </c>
      <c r="N128" s="4">
        <v>45402</v>
      </c>
      <c r="O128" s="4">
        <v>45427</v>
      </c>
      <c r="P128">
        <f>Procurement[[#This Row],[ Date Delivered ]]-Procurement[[#This Row],[ Date Ordered ]]</f>
        <v>25</v>
      </c>
      <c r="Q128" s="2">
        <v>60</v>
      </c>
      <c r="R128" s="3">
        <v>3000</v>
      </c>
      <c r="S128" s="3">
        <v>2000</v>
      </c>
      <c r="T128" s="3">
        <f>Procurement[[#This Row],[ Quantity ]]*Procurement[[#This Row],[ Unit Price (USD) ]]</f>
        <v>80000</v>
      </c>
      <c r="U128" s="3">
        <f>Procurement[[#This Row],[Total Procurement Cost]]+Procurement[[#This Row],[ Maintenance Cost (USD/year) ]]+Procurement[[#This Row],[ Installation Cost (USD) ]]</f>
        <v>85000</v>
      </c>
      <c r="V128" t="s">
        <v>28</v>
      </c>
      <c r="W128" t="str">
        <f>IF(Procurement[[#This Row],[Delivery Days]]&gt;0,"Late",IF(Procurement[[#This Row],[Delivery Days]]=0,"On Time","Early"))</f>
        <v>Late</v>
      </c>
      <c r="X128" t="str">
        <f>IF(Procurement[[#This Row],[ Warranty Period (Months) ]]&lt;24,"Short",IF(Procurement[[#This Row],[ Warranty Period (Months) ]]&lt;36,"Medium","Long"))</f>
        <v>Long</v>
      </c>
    </row>
    <row r="129" spans="1:24" x14ac:dyDescent="0.3">
      <c r="A129" s="2">
        <v>128</v>
      </c>
      <c r="B129" t="s">
        <v>521</v>
      </c>
      <c r="C129" t="s">
        <v>492</v>
      </c>
      <c r="D129" t="s">
        <v>493</v>
      </c>
      <c r="E129" t="s">
        <v>114</v>
      </c>
      <c r="F129" t="s">
        <v>477</v>
      </c>
      <c r="G129" s="2">
        <v>1</v>
      </c>
      <c r="H129" s="3">
        <v>40000</v>
      </c>
      <c r="I129" t="s">
        <v>272</v>
      </c>
      <c r="J129" t="s">
        <v>54</v>
      </c>
      <c r="K129" s="2">
        <v>7755332211</v>
      </c>
      <c r="L129" t="s">
        <v>478</v>
      </c>
      <c r="M129" t="s">
        <v>56</v>
      </c>
      <c r="N129" s="4">
        <v>45311</v>
      </c>
      <c r="O129" s="4">
        <v>45337</v>
      </c>
      <c r="P129">
        <f>Procurement[[#This Row],[ Date Delivered ]]-Procurement[[#This Row],[ Date Ordered ]]</f>
        <v>26</v>
      </c>
      <c r="Q129" s="2">
        <v>48</v>
      </c>
      <c r="R129" s="3">
        <v>2000</v>
      </c>
      <c r="S129" s="3">
        <v>1200</v>
      </c>
      <c r="T129" s="3">
        <f>Procurement[[#This Row],[ Quantity ]]*Procurement[[#This Row],[ Unit Price (USD) ]]</f>
        <v>40000</v>
      </c>
      <c r="U129" s="3">
        <f>Procurement[[#This Row],[Total Procurement Cost]]+Procurement[[#This Row],[ Maintenance Cost (USD/year) ]]+Procurement[[#This Row],[ Installation Cost (USD) ]]</f>
        <v>43200</v>
      </c>
      <c r="V129" t="s">
        <v>28</v>
      </c>
      <c r="W129" t="str">
        <f>IF(Procurement[[#This Row],[Delivery Days]]&gt;0,"Late",IF(Procurement[[#This Row],[Delivery Days]]=0,"On Time","Early"))</f>
        <v>Late</v>
      </c>
      <c r="X129" t="str">
        <f>IF(Procurement[[#This Row],[ Warranty Period (Months) ]]&lt;24,"Short",IF(Procurement[[#This Row],[ Warranty Period (Months) ]]&lt;36,"Medium","Long"))</f>
        <v>Long</v>
      </c>
    </row>
    <row r="130" spans="1:24" x14ac:dyDescent="0.3">
      <c r="A130" s="2">
        <v>129</v>
      </c>
      <c r="B130" t="s">
        <v>526</v>
      </c>
      <c r="C130" t="s">
        <v>496</v>
      </c>
      <c r="D130" t="s">
        <v>497</v>
      </c>
      <c r="E130" t="s">
        <v>216</v>
      </c>
      <c r="F130" t="s">
        <v>509</v>
      </c>
      <c r="G130" s="2">
        <v>1</v>
      </c>
      <c r="H130" s="3">
        <v>5000</v>
      </c>
      <c r="I130" t="s">
        <v>322</v>
      </c>
      <c r="J130" t="s">
        <v>219</v>
      </c>
      <c r="K130" s="2">
        <v>7755332211</v>
      </c>
      <c r="L130" t="s">
        <v>452</v>
      </c>
      <c r="M130" t="s">
        <v>221</v>
      </c>
      <c r="N130" s="4">
        <v>45342</v>
      </c>
      <c r="O130" s="4">
        <v>45369</v>
      </c>
      <c r="P130">
        <f>Procurement[[#This Row],[ Date Delivered ]]-Procurement[[#This Row],[ Date Ordered ]]</f>
        <v>27</v>
      </c>
      <c r="Q130" s="2">
        <v>24</v>
      </c>
      <c r="R130" s="3">
        <v>800</v>
      </c>
      <c r="S130" s="3">
        <v>500</v>
      </c>
      <c r="T130" s="3">
        <f>Procurement[[#This Row],[ Quantity ]]*Procurement[[#This Row],[ Unit Price (USD) ]]</f>
        <v>5000</v>
      </c>
      <c r="U130" s="3">
        <f>Procurement[[#This Row],[Total Procurement Cost]]+Procurement[[#This Row],[ Maintenance Cost (USD/year) ]]+Procurement[[#This Row],[ Installation Cost (USD) ]]</f>
        <v>6300</v>
      </c>
      <c r="V130" t="s">
        <v>47</v>
      </c>
      <c r="W130" t="str">
        <f>IF(Procurement[[#This Row],[Delivery Days]]&gt;0,"Late",IF(Procurement[[#This Row],[Delivery Days]]=0,"On Time","Early"))</f>
        <v>Late</v>
      </c>
      <c r="X130" t="str">
        <f>IF(Procurement[[#This Row],[ Warranty Period (Months) ]]&lt;24,"Short",IF(Procurement[[#This Row],[ Warranty Period (Months) ]]&lt;36,"Medium","Long"))</f>
        <v>Medium</v>
      </c>
    </row>
    <row r="131" spans="1:24" x14ac:dyDescent="0.3">
      <c r="A131" s="2">
        <v>130</v>
      </c>
      <c r="B131" t="s">
        <v>527</v>
      </c>
      <c r="C131" t="s">
        <v>445</v>
      </c>
      <c r="D131" t="s">
        <v>511</v>
      </c>
      <c r="E131" t="s">
        <v>216</v>
      </c>
      <c r="F131" t="s">
        <v>494</v>
      </c>
      <c r="G131" s="2">
        <v>1</v>
      </c>
      <c r="H131" s="3">
        <v>5000</v>
      </c>
      <c r="I131" t="s">
        <v>322</v>
      </c>
      <c r="J131" t="s">
        <v>219</v>
      </c>
      <c r="K131" s="2">
        <v>7755332211</v>
      </c>
      <c r="L131" t="s">
        <v>452</v>
      </c>
      <c r="M131" t="s">
        <v>221</v>
      </c>
      <c r="N131" s="4">
        <v>45301</v>
      </c>
      <c r="O131" s="4">
        <v>45327</v>
      </c>
      <c r="P131">
        <f>Procurement[[#This Row],[ Date Delivered ]]-Procurement[[#This Row],[ Date Ordered ]]</f>
        <v>26</v>
      </c>
      <c r="Q131" s="2">
        <v>24</v>
      </c>
      <c r="R131" s="3">
        <v>800</v>
      </c>
      <c r="S131" s="3">
        <v>500</v>
      </c>
      <c r="T131" s="3">
        <f>Procurement[[#This Row],[ Quantity ]]*Procurement[[#This Row],[ Unit Price (USD) ]]</f>
        <v>5000</v>
      </c>
      <c r="U131" s="3">
        <f>Procurement[[#This Row],[Total Procurement Cost]]+Procurement[[#This Row],[ Maintenance Cost (USD/year) ]]+Procurement[[#This Row],[ Installation Cost (USD) ]]</f>
        <v>6300</v>
      </c>
      <c r="V131" t="s">
        <v>47</v>
      </c>
      <c r="W131" t="str">
        <f>IF(Procurement[[#This Row],[Delivery Days]]&gt;0,"Late",IF(Procurement[[#This Row],[Delivery Days]]=0,"On Time","Early"))</f>
        <v>Late</v>
      </c>
      <c r="X131" t="str">
        <f>IF(Procurement[[#This Row],[ Warranty Period (Months) ]]&lt;24,"Short",IF(Procurement[[#This Row],[ Warranty Period (Months) ]]&lt;36,"Medium","Long"))</f>
        <v>Medium</v>
      </c>
    </row>
    <row r="132" spans="1:24" x14ac:dyDescent="0.3">
      <c r="A132" s="2">
        <v>131</v>
      </c>
      <c r="B132" t="s">
        <v>499</v>
      </c>
      <c r="C132" t="s">
        <v>500</v>
      </c>
      <c r="D132" t="s">
        <v>501</v>
      </c>
      <c r="E132" t="s">
        <v>238</v>
      </c>
      <c r="F132" t="s">
        <v>498</v>
      </c>
      <c r="G132" s="2">
        <v>1</v>
      </c>
      <c r="H132" s="3">
        <v>40000</v>
      </c>
      <c r="I132" t="s">
        <v>405</v>
      </c>
      <c r="J132" t="s">
        <v>64</v>
      </c>
      <c r="K132" s="2">
        <v>6677889900</v>
      </c>
      <c r="L132" t="s">
        <v>461</v>
      </c>
      <c r="M132" t="s">
        <v>66</v>
      </c>
      <c r="N132" s="4">
        <v>45356</v>
      </c>
      <c r="O132" s="4">
        <v>45379</v>
      </c>
      <c r="P132">
        <f>Procurement[[#This Row],[ Date Delivered ]]-Procurement[[#This Row],[ Date Ordered ]]</f>
        <v>23</v>
      </c>
      <c r="Q132" s="2">
        <v>36</v>
      </c>
      <c r="R132" s="3">
        <v>2000</v>
      </c>
      <c r="S132" s="3">
        <v>1200</v>
      </c>
      <c r="T132" s="3">
        <f>Procurement[[#This Row],[ Quantity ]]*Procurement[[#This Row],[ Unit Price (USD) ]]</f>
        <v>40000</v>
      </c>
      <c r="U132" s="3">
        <f>Procurement[[#This Row],[Total Procurement Cost]]+Procurement[[#This Row],[ Maintenance Cost (USD/year) ]]+Procurement[[#This Row],[ Installation Cost (USD) ]]</f>
        <v>43200</v>
      </c>
      <c r="V132" t="s">
        <v>28</v>
      </c>
      <c r="W132" t="str">
        <f>IF(Procurement[[#This Row],[Delivery Days]]&gt;0,"Late",IF(Procurement[[#This Row],[Delivery Days]]=0,"On Time","Early"))</f>
        <v>Late</v>
      </c>
      <c r="X132" t="str">
        <f>IF(Procurement[[#This Row],[ Warranty Period (Months) ]]&lt;24,"Short",IF(Procurement[[#This Row],[ Warranty Period (Months) ]]&lt;36,"Medium","Long"))</f>
        <v>Long</v>
      </c>
    </row>
    <row r="133" spans="1:24" x14ac:dyDescent="0.3">
      <c r="A133" s="2">
        <v>132</v>
      </c>
      <c r="B133" t="s">
        <v>502</v>
      </c>
      <c r="C133" t="s">
        <v>449</v>
      </c>
      <c r="D133" t="s">
        <v>450</v>
      </c>
      <c r="E133" t="s">
        <v>114</v>
      </c>
      <c r="F133" t="s">
        <v>477</v>
      </c>
      <c r="G133" s="2">
        <v>1</v>
      </c>
      <c r="H133" s="3">
        <v>40000</v>
      </c>
      <c r="I133" t="s">
        <v>272</v>
      </c>
      <c r="J133" t="s">
        <v>54</v>
      </c>
      <c r="K133" s="2">
        <v>7755332211</v>
      </c>
      <c r="L133" t="s">
        <v>478</v>
      </c>
      <c r="M133" t="s">
        <v>56</v>
      </c>
      <c r="N133" s="4">
        <v>45311</v>
      </c>
      <c r="O133" s="4">
        <v>45337</v>
      </c>
      <c r="P133">
        <f>Procurement[[#This Row],[ Date Delivered ]]-Procurement[[#This Row],[ Date Ordered ]]</f>
        <v>26</v>
      </c>
      <c r="Q133" s="2">
        <v>48</v>
      </c>
      <c r="R133" s="3">
        <v>2000</v>
      </c>
      <c r="S133" s="3">
        <v>1200</v>
      </c>
      <c r="T133" s="3">
        <f>Procurement[[#This Row],[ Quantity ]]*Procurement[[#This Row],[ Unit Price (USD) ]]</f>
        <v>40000</v>
      </c>
      <c r="U133" s="3">
        <f>Procurement[[#This Row],[Total Procurement Cost]]+Procurement[[#This Row],[ Maintenance Cost (USD/year) ]]+Procurement[[#This Row],[ Installation Cost (USD) ]]</f>
        <v>43200</v>
      </c>
      <c r="V133" t="s">
        <v>28</v>
      </c>
      <c r="W133" t="str">
        <f>IF(Procurement[[#This Row],[Delivery Days]]&gt;0,"Late",IF(Procurement[[#This Row],[Delivery Days]]=0,"On Time","Early"))</f>
        <v>Late</v>
      </c>
      <c r="X133" t="str">
        <f>IF(Procurement[[#This Row],[ Warranty Period (Months) ]]&lt;24,"Short",IF(Procurement[[#This Row],[ Warranty Period (Months) ]]&lt;36,"Medium","Long"))</f>
        <v>Long</v>
      </c>
    </row>
    <row r="134" spans="1:24" x14ac:dyDescent="0.3">
      <c r="A134" s="2">
        <v>133</v>
      </c>
      <c r="B134" t="s">
        <v>503</v>
      </c>
      <c r="C134" t="s">
        <v>454</v>
      </c>
      <c r="D134" t="s">
        <v>455</v>
      </c>
      <c r="E134" t="s">
        <v>216</v>
      </c>
      <c r="F134" t="s">
        <v>398</v>
      </c>
      <c r="G134" s="2">
        <v>1</v>
      </c>
      <c r="H134" s="3">
        <v>8000</v>
      </c>
      <c r="I134" t="s">
        <v>322</v>
      </c>
      <c r="J134" t="s">
        <v>219</v>
      </c>
      <c r="K134" s="2">
        <v>7755332211</v>
      </c>
      <c r="L134" t="s">
        <v>452</v>
      </c>
      <c r="M134" t="s">
        <v>221</v>
      </c>
      <c r="N134" s="4">
        <v>45342</v>
      </c>
      <c r="O134" s="4">
        <v>45369</v>
      </c>
      <c r="P134">
        <f>Procurement[[#This Row],[ Date Delivered ]]-Procurement[[#This Row],[ Date Ordered ]]</f>
        <v>27</v>
      </c>
      <c r="Q134" s="2">
        <v>24</v>
      </c>
      <c r="R134" s="3">
        <v>1000</v>
      </c>
      <c r="S134" s="3">
        <v>500</v>
      </c>
      <c r="T134" s="3">
        <f>Procurement[[#This Row],[ Quantity ]]*Procurement[[#This Row],[ Unit Price (USD) ]]</f>
        <v>8000</v>
      </c>
      <c r="U134" s="3">
        <f>Procurement[[#This Row],[Total Procurement Cost]]+Procurement[[#This Row],[ Maintenance Cost (USD/year) ]]+Procurement[[#This Row],[ Installation Cost (USD) ]]</f>
        <v>9500</v>
      </c>
      <c r="V134" t="s">
        <v>47</v>
      </c>
      <c r="W134" t="str">
        <f>IF(Procurement[[#This Row],[Delivery Days]]&gt;0,"Late",IF(Procurement[[#This Row],[Delivery Days]]=0,"On Time","Early"))</f>
        <v>Late</v>
      </c>
      <c r="X134" t="str">
        <f>IF(Procurement[[#This Row],[ Warranty Period (Months) ]]&lt;24,"Short",IF(Procurement[[#This Row],[ Warranty Period (Months) ]]&lt;36,"Medium","Long"))</f>
        <v>Medium</v>
      </c>
    </row>
    <row r="135" spans="1:24" x14ac:dyDescent="0.3">
      <c r="A135" s="2">
        <v>134</v>
      </c>
      <c r="B135" t="s">
        <v>504</v>
      </c>
      <c r="C135" t="s">
        <v>458</v>
      </c>
      <c r="D135" t="s">
        <v>459</v>
      </c>
      <c r="E135" t="s">
        <v>231</v>
      </c>
      <c r="F135" t="s">
        <v>379</v>
      </c>
      <c r="G135" s="2">
        <v>1</v>
      </c>
      <c r="H135" s="3">
        <v>20000</v>
      </c>
      <c r="I135" t="s">
        <v>380</v>
      </c>
      <c r="J135" t="s">
        <v>44</v>
      </c>
      <c r="K135" s="2">
        <v>3322114455</v>
      </c>
      <c r="L135" t="s">
        <v>466</v>
      </c>
      <c r="M135" t="s">
        <v>46</v>
      </c>
      <c r="N135" s="4">
        <v>45384</v>
      </c>
      <c r="O135" s="4">
        <v>45407</v>
      </c>
      <c r="P135">
        <f>Procurement[[#This Row],[ Date Delivered ]]-Procurement[[#This Row],[ Date Ordered ]]</f>
        <v>23</v>
      </c>
      <c r="Q135" s="2">
        <v>36</v>
      </c>
      <c r="R135" s="3">
        <v>2500</v>
      </c>
      <c r="S135" s="3">
        <v>1500</v>
      </c>
      <c r="T135" s="3">
        <f>Procurement[[#This Row],[ Quantity ]]*Procurement[[#This Row],[ Unit Price (USD) ]]</f>
        <v>20000</v>
      </c>
      <c r="U135" s="3">
        <f>Procurement[[#This Row],[Total Procurement Cost]]+Procurement[[#This Row],[ Maintenance Cost (USD/year) ]]+Procurement[[#This Row],[ Installation Cost (USD) ]]</f>
        <v>24000</v>
      </c>
      <c r="V135" t="s">
        <v>28</v>
      </c>
      <c r="W135" t="str">
        <f>IF(Procurement[[#This Row],[Delivery Days]]&gt;0,"Late",IF(Procurement[[#This Row],[Delivery Days]]=0,"On Time","Early"))</f>
        <v>Late</v>
      </c>
      <c r="X135" t="str">
        <f>IF(Procurement[[#This Row],[ Warranty Period (Months) ]]&lt;24,"Short",IF(Procurement[[#This Row],[ Warranty Period (Months) ]]&lt;36,"Medium","Long"))</f>
        <v>Long</v>
      </c>
    </row>
    <row r="136" spans="1:24" x14ac:dyDescent="0.3">
      <c r="A136" s="2">
        <v>135</v>
      </c>
      <c r="B136" t="s">
        <v>505</v>
      </c>
      <c r="C136" t="s">
        <v>463</v>
      </c>
      <c r="D136" t="s">
        <v>464</v>
      </c>
      <c r="E136" t="s">
        <v>238</v>
      </c>
      <c r="F136" t="s">
        <v>400</v>
      </c>
      <c r="G136" s="2">
        <v>1</v>
      </c>
      <c r="H136" s="3">
        <v>30000</v>
      </c>
      <c r="I136" t="s">
        <v>401</v>
      </c>
      <c r="J136" t="s">
        <v>91</v>
      </c>
      <c r="K136" s="2">
        <v>6677889900</v>
      </c>
      <c r="L136" t="s">
        <v>474</v>
      </c>
      <c r="M136" t="s">
        <v>93</v>
      </c>
      <c r="N136" s="4">
        <v>45350</v>
      </c>
      <c r="O136" s="4">
        <v>45376</v>
      </c>
      <c r="P136">
        <f>Procurement[[#This Row],[ Date Delivered ]]-Procurement[[#This Row],[ Date Ordered ]]</f>
        <v>26</v>
      </c>
      <c r="Q136" s="2">
        <v>36</v>
      </c>
      <c r="R136" s="3">
        <v>1500</v>
      </c>
      <c r="S136" s="3">
        <v>800</v>
      </c>
      <c r="T136" s="3">
        <f>Procurement[[#This Row],[ Quantity ]]*Procurement[[#This Row],[ Unit Price (USD) ]]</f>
        <v>30000</v>
      </c>
      <c r="U136" s="3">
        <f>Procurement[[#This Row],[Total Procurement Cost]]+Procurement[[#This Row],[ Maintenance Cost (USD/year) ]]+Procurement[[#This Row],[ Installation Cost (USD) ]]</f>
        <v>32300</v>
      </c>
      <c r="V136" t="s">
        <v>57</v>
      </c>
      <c r="W136" t="str">
        <f>IF(Procurement[[#This Row],[Delivery Days]]&gt;0,"Late",IF(Procurement[[#This Row],[Delivery Days]]=0,"On Time","Early"))</f>
        <v>Late</v>
      </c>
      <c r="X136" t="str">
        <f>IF(Procurement[[#This Row],[ Warranty Period (Months) ]]&lt;24,"Short",IF(Procurement[[#This Row],[ Warranty Period (Months) ]]&lt;36,"Medium","Long"))</f>
        <v>Long</v>
      </c>
    </row>
    <row r="137" spans="1:24" x14ac:dyDescent="0.3">
      <c r="A137" s="2">
        <v>136</v>
      </c>
      <c r="B137" t="s">
        <v>485</v>
      </c>
      <c r="C137" t="s">
        <v>486</v>
      </c>
      <c r="D137" t="s">
        <v>487</v>
      </c>
      <c r="E137" t="s">
        <v>216</v>
      </c>
      <c r="F137" t="s">
        <v>428</v>
      </c>
      <c r="G137" s="2">
        <v>1</v>
      </c>
      <c r="H137" s="3">
        <v>5000</v>
      </c>
      <c r="I137" t="s">
        <v>322</v>
      </c>
      <c r="J137" t="s">
        <v>219</v>
      </c>
      <c r="K137" s="2">
        <v>7755332211</v>
      </c>
      <c r="L137" t="s">
        <v>452</v>
      </c>
      <c r="M137" t="s">
        <v>221</v>
      </c>
      <c r="N137" s="4">
        <v>45301</v>
      </c>
      <c r="O137" s="4">
        <v>45327</v>
      </c>
      <c r="P137">
        <f>Procurement[[#This Row],[ Date Delivered ]]-Procurement[[#This Row],[ Date Ordered ]]</f>
        <v>26</v>
      </c>
      <c r="Q137" s="2">
        <v>24</v>
      </c>
      <c r="R137" s="3">
        <v>800</v>
      </c>
      <c r="S137" s="3">
        <v>500</v>
      </c>
      <c r="T137" s="3">
        <f>Procurement[[#This Row],[ Quantity ]]*Procurement[[#This Row],[ Unit Price (USD) ]]</f>
        <v>5000</v>
      </c>
      <c r="U137" s="3">
        <f>Procurement[[#This Row],[Total Procurement Cost]]+Procurement[[#This Row],[ Maintenance Cost (USD/year) ]]+Procurement[[#This Row],[ Installation Cost (USD) ]]</f>
        <v>6300</v>
      </c>
      <c r="V137" t="s">
        <v>47</v>
      </c>
      <c r="W137" t="str">
        <f>IF(Procurement[[#This Row],[Delivery Days]]&gt;0,"Late",IF(Procurement[[#This Row],[Delivery Days]]=0,"On Time","Early"))</f>
        <v>Late</v>
      </c>
      <c r="X137" t="str">
        <f>IF(Procurement[[#This Row],[ Warranty Period (Months) ]]&lt;24,"Short",IF(Procurement[[#This Row],[ Warranty Period (Months) ]]&lt;36,"Medium","Long"))</f>
        <v>Medium</v>
      </c>
    </row>
    <row r="138" spans="1:24" x14ac:dyDescent="0.3">
      <c r="A138" s="2">
        <v>137</v>
      </c>
      <c r="B138" t="s">
        <v>517</v>
      </c>
      <c r="C138" t="s">
        <v>407</v>
      </c>
      <c r="D138" t="s">
        <v>490</v>
      </c>
      <c r="E138" t="s">
        <v>238</v>
      </c>
      <c r="F138" t="s">
        <v>518</v>
      </c>
      <c r="G138" s="2">
        <v>1</v>
      </c>
      <c r="H138" s="3">
        <v>80000</v>
      </c>
      <c r="I138" t="s">
        <v>519</v>
      </c>
      <c r="J138" t="s">
        <v>54</v>
      </c>
      <c r="K138" s="2">
        <v>7755332211</v>
      </c>
      <c r="L138" t="s">
        <v>520</v>
      </c>
      <c r="M138" t="s">
        <v>75</v>
      </c>
      <c r="N138" s="4">
        <v>45402</v>
      </c>
      <c r="O138" s="4">
        <v>45427</v>
      </c>
      <c r="P138">
        <f>Procurement[[#This Row],[ Date Delivered ]]-Procurement[[#This Row],[ Date Ordered ]]</f>
        <v>25</v>
      </c>
      <c r="Q138" s="2">
        <v>60</v>
      </c>
      <c r="R138" s="3">
        <v>3000</v>
      </c>
      <c r="S138" s="3">
        <v>2000</v>
      </c>
      <c r="T138" s="3">
        <f>Procurement[[#This Row],[ Quantity ]]*Procurement[[#This Row],[ Unit Price (USD) ]]</f>
        <v>80000</v>
      </c>
      <c r="U138" s="3">
        <f>Procurement[[#This Row],[Total Procurement Cost]]+Procurement[[#This Row],[ Maintenance Cost (USD/year) ]]+Procurement[[#This Row],[ Installation Cost (USD) ]]</f>
        <v>85000</v>
      </c>
      <c r="V138" t="s">
        <v>28</v>
      </c>
      <c r="W138" t="str">
        <f>IF(Procurement[[#This Row],[Delivery Days]]&gt;0,"Late",IF(Procurement[[#This Row],[Delivery Days]]=0,"On Time","Early"))</f>
        <v>Late</v>
      </c>
      <c r="X138" t="str">
        <f>IF(Procurement[[#This Row],[ Warranty Period (Months) ]]&lt;24,"Short",IF(Procurement[[#This Row],[ Warranty Period (Months) ]]&lt;36,"Medium","Long"))</f>
        <v>Long</v>
      </c>
    </row>
    <row r="139" spans="1:24" x14ac:dyDescent="0.3">
      <c r="A139" s="2">
        <v>138</v>
      </c>
      <c r="B139" t="s">
        <v>521</v>
      </c>
      <c r="C139" t="s">
        <v>492</v>
      </c>
      <c r="D139" t="s">
        <v>493</v>
      </c>
      <c r="E139" t="s">
        <v>114</v>
      </c>
      <c r="F139" t="s">
        <v>522</v>
      </c>
      <c r="G139" s="2">
        <v>1</v>
      </c>
      <c r="H139" s="3">
        <v>10000</v>
      </c>
      <c r="I139" t="s">
        <v>523</v>
      </c>
      <c r="J139" t="s">
        <v>524</v>
      </c>
      <c r="K139" s="2">
        <v>3322114455</v>
      </c>
      <c r="L139" t="s">
        <v>525</v>
      </c>
      <c r="M139" t="s">
        <v>27</v>
      </c>
      <c r="N139" s="4">
        <v>45366</v>
      </c>
      <c r="O139" s="4">
        <v>45392</v>
      </c>
      <c r="P139">
        <f>Procurement[[#This Row],[ Date Delivered ]]-Procurement[[#This Row],[ Date Ordered ]]</f>
        <v>26</v>
      </c>
      <c r="Q139" s="2">
        <v>36</v>
      </c>
      <c r="R139" s="3">
        <v>1200</v>
      </c>
      <c r="S139" s="3">
        <v>800</v>
      </c>
      <c r="T139" s="3">
        <f>Procurement[[#This Row],[ Quantity ]]*Procurement[[#This Row],[ Unit Price (USD) ]]</f>
        <v>10000</v>
      </c>
      <c r="U139" s="3">
        <f>Procurement[[#This Row],[Total Procurement Cost]]+Procurement[[#This Row],[ Maintenance Cost (USD/year) ]]+Procurement[[#This Row],[ Installation Cost (USD) ]]</f>
        <v>12000</v>
      </c>
      <c r="V139" t="s">
        <v>28</v>
      </c>
      <c r="W139" t="str">
        <f>IF(Procurement[[#This Row],[Delivery Days]]&gt;0,"Late",IF(Procurement[[#This Row],[Delivery Days]]=0,"On Time","Early"))</f>
        <v>Late</v>
      </c>
      <c r="X139" t="str">
        <f>IF(Procurement[[#This Row],[ Warranty Period (Months) ]]&lt;24,"Short",IF(Procurement[[#This Row],[ Warranty Period (Months) ]]&lt;36,"Medium","Long"))</f>
        <v>Long</v>
      </c>
    </row>
    <row r="140" spans="1:24" x14ac:dyDescent="0.3">
      <c r="A140" s="2">
        <v>139</v>
      </c>
      <c r="B140" t="s">
        <v>526</v>
      </c>
      <c r="C140" t="s">
        <v>496</v>
      </c>
      <c r="D140" t="s">
        <v>497</v>
      </c>
      <c r="E140" t="s">
        <v>231</v>
      </c>
      <c r="F140" t="s">
        <v>488</v>
      </c>
      <c r="G140" s="2">
        <v>1</v>
      </c>
      <c r="H140" s="3">
        <v>50000</v>
      </c>
      <c r="I140" t="s">
        <v>335</v>
      </c>
      <c r="J140" t="s">
        <v>44</v>
      </c>
      <c r="K140" s="2">
        <v>3322114455</v>
      </c>
      <c r="L140" t="s">
        <v>470</v>
      </c>
      <c r="M140" t="s">
        <v>46</v>
      </c>
      <c r="N140" s="4">
        <v>45356</v>
      </c>
      <c r="O140" s="4">
        <v>45379</v>
      </c>
      <c r="P140">
        <f>Procurement[[#This Row],[ Date Delivered ]]-Procurement[[#This Row],[ Date Ordered ]]</f>
        <v>23</v>
      </c>
      <c r="Q140" s="2">
        <v>36</v>
      </c>
      <c r="R140" s="3">
        <v>1800</v>
      </c>
      <c r="S140" s="3">
        <v>1000</v>
      </c>
      <c r="T140" s="3">
        <f>Procurement[[#This Row],[ Quantity ]]*Procurement[[#This Row],[ Unit Price (USD) ]]</f>
        <v>50000</v>
      </c>
      <c r="U140" s="3">
        <f>Procurement[[#This Row],[Total Procurement Cost]]+Procurement[[#This Row],[ Maintenance Cost (USD/year) ]]+Procurement[[#This Row],[ Installation Cost (USD) ]]</f>
        <v>52800</v>
      </c>
      <c r="V140" t="s">
        <v>47</v>
      </c>
      <c r="W140" t="str">
        <f>IF(Procurement[[#This Row],[Delivery Days]]&gt;0,"Late",IF(Procurement[[#This Row],[Delivery Days]]=0,"On Time","Early"))</f>
        <v>Late</v>
      </c>
      <c r="X140" t="str">
        <f>IF(Procurement[[#This Row],[ Warranty Period (Months) ]]&lt;24,"Short",IF(Procurement[[#This Row],[ Warranty Period (Months) ]]&lt;36,"Medium","Long"))</f>
        <v>Long</v>
      </c>
    </row>
    <row r="141" spans="1:24" x14ac:dyDescent="0.3">
      <c r="A141" s="2">
        <v>140</v>
      </c>
      <c r="B141" t="s">
        <v>527</v>
      </c>
      <c r="C141" t="s">
        <v>445</v>
      </c>
      <c r="D141" t="s">
        <v>511</v>
      </c>
      <c r="E141" t="s">
        <v>216</v>
      </c>
      <c r="F141" t="s">
        <v>509</v>
      </c>
      <c r="G141" s="2">
        <v>1</v>
      </c>
      <c r="H141" s="3">
        <v>5000</v>
      </c>
      <c r="I141" t="s">
        <v>322</v>
      </c>
      <c r="J141" t="s">
        <v>219</v>
      </c>
      <c r="K141" s="2">
        <v>7755332211</v>
      </c>
      <c r="L141" t="s">
        <v>452</v>
      </c>
      <c r="M141" t="s">
        <v>221</v>
      </c>
      <c r="N141" s="4">
        <v>45342</v>
      </c>
      <c r="O141" s="4">
        <v>45369</v>
      </c>
      <c r="P141">
        <f>Procurement[[#This Row],[ Date Delivered ]]-Procurement[[#This Row],[ Date Ordered ]]</f>
        <v>27</v>
      </c>
      <c r="Q141" s="2">
        <v>24</v>
      </c>
      <c r="R141" s="3">
        <v>800</v>
      </c>
      <c r="S141" s="3">
        <v>500</v>
      </c>
      <c r="T141" s="3">
        <f>Procurement[[#This Row],[ Quantity ]]*Procurement[[#This Row],[ Unit Price (USD) ]]</f>
        <v>5000</v>
      </c>
      <c r="U141" s="3">
        <f>Procurement[[#This Row],[Total Procurement Cost]]+Procurement[[#This Row],[ Maintenance Cost (USD/year) ]]+Procurement[[#This Row],[ Installation Cost (USD) ]]</f>
        <v>6300</v>
      </c>
      <c r="V141" t="s">
        <v>47</v>
      </c>
      <c r="W141" t="str">
        <f>IF(Procurement[[#This Row],[Delivery Days]]&gt;0,"Late",IF(Procurement[[#This Row],[Delivery Days]]=0,"On Time","Early"))</f>
        <v>Late</v>
      </c>
      <c r="X141" t="str">
        <f>IF(Procurement[[#This Row],[ Warranty Period (Months) ]]&lt;24,"Short",IF(Procurement[[#This Row],[ Warranty Period (Months) ]]&lt;36,"Medium","Long"))</f>
        <v>Medium</v>
      </c>
    </row>
    <row r="142" spans="1:24" x14ac:dyDescent="0.3">
      <c r="A142" s="2">
        <v>141</v>
      </c>
      <c r="B142" t="s">
        <v>499</v>
      </c>
      <c r="C142" t="s">
        <v>500</v>
      </c>
      <c r="D142" t="s">
        <v>501</v>
      </c>
      <c r="E142" t="s">
        <v>216</v>
      </c>
      <c r="F142" t="s">
        <v>494</v>
      </c>
      <c r="G142" s="2">
        <v>1</v>
      </c>
      <c r="H142" s="3">
        <v>5000</v>
      </c>
      <c r="I142" t="s">
        <v>322</v>
      </c>
      <c r="J142" t="s">
        <v>219</v>
      </c>
      <c r="K142" s="2">
        <v>7755332211</v>
      </c>
      <c r="L142" t="s">
        <v>452</v>
      </c>
      <c r="M142" t="s">
        <v>221</v>
      </c>
      <c r="N142" s="4">
        <v>45301</v>
      </c>
      <c r="O142" s="4">
        <v>45327</v>
      </c>
      <c r="P142">
        <f>Procurement[[#This Row],[ Date Delivered ]]-Procurement[[#This Row],[ Date Ordered ]]</f>
        <v>26</v>
      </c>
      <c r="Q142" s="2">
        <v>24</v>
      </c>
      <c r="R142" s="3">
        <v>800</v>
      </c>
      <c r="S142" s="3">
        <v>500</v>
      </c>
      <c r="T142" s="3">
        <f>Procurement[[#This Row],[ Quantity ]]*Procurement[[#This Row],[ Unit Price (USD) ]]</f>
        <v>5000</v>
      </c>
      <c r="U142" s="3">
        <f>Procurement[[#This Row],[Total Procurement Cost]]+Procurement[[#This Row],[ Maintenance Cost (USD/year) ]]+Procurement[[#This Row],[ Installation Cost (USD) ]]</f>
        <v>6300</v>
      </c>
      <c r="V142" t="s">
        <v>47</v>
      </c>
      <c r="W142" t="str">
        <f>IF(Procurement[[#This Row],[Delivery Days]]&gt;0,"Late",IF(Procurement[[#This Row],[Delivery Days]]=0,"On Time","Early"))</f>
        <v>Late</v>
      </c>
      <c r="X142" t="str">
        <f>IF(Procurement[[#This Row],[ Warranty Period (Months) ]]&lt;24,"Short",IF(Procurement[[#This Row],[ Warranty Period (Months) ]]&lt;36,"Medium","Long"))</f>
        <v>Medium</v>
      </c>
    </row>
    <row r="143" spans="1:24" x14ac:dyDescent="0.3">
      <c r="A143" s="2">
        <v>142</v>
      </c>
      <c r="B143" t="s">
        <v>502</v>
      </c>
      <c r="C143" t="s">
        <v>449</v>
      </c>
      <c r="D143" t="s">
        <v>450</v>
      </c>
      <c r="E143" t="s">
        <v>238</v>
      </c>
      <c r="F143" t="s">
        <v>498</v>
      </c>
      <c r="G143" s="2">
        <v>1</v>
      </c>
      <c r="H143" s="3">
        <v>40000</v>
      </c>
      <c r="I143" t="s">
        <v>405</v>
      </c>
      <c r="J143" t="s">
        <v>64</v>
      </c>
      <c r="K143" s="2">
        <v>6677889900</v>
      </c>
      <c r="L143" t="s">
        <v>461</v>
      </c>
      <c r="M143" t="s">
        <v>66</v>
      </c>
      <c r="N143" s="4">
        <v>45356</v>
      </c>
      <c r="O143" s="4">
        <v>45379</v>
      </c>
      <c r="P143">
        <f>Procurement[[#This Row],[ Date Delivered ]]-Procurement[[#This Row],[ Date Ordered ]]</f>
        <v>23</v>
      </c>
      <c r="Q143" s="2">
        <v>36</v>
      </c>
      <c r="R143" s="3">
        <v>2000</v>
      </c>
      <c r="S143" s="3">
        <v>1200</v>
      </c>
      <c r="T143" s="3">
        <f>Procurement[[#This Row],[ Quantity ]]*Procurement[[#This Row],[ Unit Price (USD) ]]</f>
        <v>40000</v>
      </c>
      <c r="U143" s="3">
        <f>Procurement[[#This Row],[Total Procurement Cost]]+Procurement[[#This Row],[ Maintenance Cost (USD/year) ]]+Procurement[[#This Row],[ Installation Cost (USD) ]]</f>
        <v>43200</v>
      </c>
      <c r="V143" t="s">
        <v>28</v>
      </c>
      <c r="W143" t="str">
        <f>IF(Procurement[[#This Row],[Delivery Days]]&gt;0,"Late",IF(Procurement[[#This Row],[Delivery Days]]=0,"On Time","Early"))</f>
        <v>Late</v>
      </c>
      <c r="X143" t="str">
        <f>IF(Procurement[[#This Row],[ Warranty Period (Months) ]]&lt;24,"Short",IF(Procurement[[#This Row],[ Warranty Period (Months) ]]&lt;36,"Medium","Long"))</f>
        <v>Long</v>
      </c>
    </row>
    <row r="144" spans="1:24" x14ac:dyDescent="0.3">
      <c r="A144" s="2">
        <v>143</v>
      </c>
      <c r="B144" t="s">
        <v>503</v>
      </c>
      <c r="C144" t="s">
        <v>454</v>
      </c>
      <c r="D144" t="s">
        <v>455</v>
      </c>
      <c r="E144" t="s">
        <v>231</v>
      </c>
      <c r="F144" t="s">
        <v>379</v>
      </c>
      <c r="G144" s="2">
        <v>1</v>
      </c>
      <c r="H144" s="3">
        <v>20000</v>
      </c>
      <c r="I144" t="s">
        <v>380</v>
      </c>
      <c r="J144" t="s">
        <v>44</v>
      </c>
      <c r="K144" s="2">
        <v>3322114455</v>
      </c>
      <c r="L144" t="s">
        <v>466</v>
      </c>
      <c r="M144" t="s">
        <v>46</v>
      </c>
      <c r="N144" s="4">
        <v>45384</v>
      </c>
      <c r="O144" s="4">
        <v>45407</v>
      </c>
      <c r="P144">
        <f>Procurement[[#This Row],[ Date Delivered ]]-Procurement[[#This Row],[ Date Ordered ]]</f>
        <v>23</v>
      </c>
      <c r="Q144" s="2">
        <v>36</v>
      </c>
      <c r="R144" s="3">
        <v>2500</v>
      </c>
      <c r="S144" s="3">
        <v>1500</v>
      </c>
      <c r="T144" s="3">
        <f>Procurement[[#This Row],[ Quantity ]]*Procurement[[#This Row],[ Unit Price (USD) ]]</f>
        <v>20000</v>
      </c>
      <c r="U144" s="3">
        <f>Procurement[[#This Row],[Total Procurement Cost]]+Procurement[[#This Row],[ Maintenance Cost (USD/year) ]]+Procurement[[#This Row],[ Installation Cost (USD) ]]</f>
        <v>24000</v>
      </c>
      <c r="V144" t="s">
        <v>28</v>
      </c>
      <c r="W144" t="str">
        <f>IF(Procurement[[#This Row],[Delivery Days]]&gt;0,"Late",IF(Procurement[[#This Row],[Delivery Days]]=0,"On Time","Early"))</f>
        <v>Late</v>
      </c>
      <c r="X144" t="str">
        <f>IF(Procurement[[#This Row],[ Warranty Period (Months) ]]&lt;24,"Short",IF(Procurement[[#This Row],[ Warranty Period (Months) ]]&lt;36,"Medium","Long"))</f>
        <v>Long</v>
      </c>
    </row>
    <row r="145" spans="1:24" x14ac:dyDescent="0.3">
      <c r="A145" s="2">
        <v>144</v>
      </c>
      <c r="B145" t="s">
        <v>504</v>
      </c>
      <c r="C145" t="s">
        <v>458</v>
      </c>
      <c r="D145" t="s">
        <v>459</v>
      </c>
      <c r="E145" t="s">
        <v>216</v>
      </c>
      <c r="F145" t="s">
        <v>398</v>
      </c>
      <c r="G145" s="2">
        <v>1</v>
      </c>
      <c r="H145" s="3">
        <v>8000</v>
      </c>
      <c r="I145" t="s">
        <v>322</v>
      </c>
      <c r="J145" t="s">
        <v>219</v>
      </c>
      <c r="K145" s="2">
        <v>7755332211</v>
      </c>
      <c r="L145" t="s">
        <v>452</v>
      </c>
      <c r="M145" t="s">
        <v>221</v>
      </c>
      <c r="N145" s="4">
        <v>45342</v>
      </c>
      <c r="O145" s="4">
        <v>45369</v>
      </c>
      <c r="P145">
        <f>Procurement[[#This Row],[ Date Delivered ]]-Procurement[[#This Row],[ Date Ordered ]]</f>
        <v>27</v>
      </c>
      <c r="Q145" s="2">
        <v>24</v>
      </c>
      <c r="R145" s="3">
        <v>1000</v>
      </c>
      <c r="S145" s="3">
        <v>500</v>
      </c>
      <c r="T145" s="3">
        <f>Procurement[[#This Row],[ Quantity ]]*Procurement[[#This Row],[ Unit Price (USD) ]]</f>
        <v>8000</v>
      </c>
      <c r="U145" s="3">
        <f>Procurement[[#This Row],[Total Procurement Cost]]+Procurement[[#This Row],[ Maintenance Cost (USD/year) ]]+Procurement[[#This Row],[ Installation Cost (USD) ]]</f>
        <v>9500</v>
      </c>
      <c r="V145" t="s">
        <v>47</v>
      </c>
      <c r="W145" t="str">
        <f>IF(Procurement[[#This Row],[Delivery Days]]&gt;0,"Late",IF(Procurement[[#This Row],[Delivery Days]]=0,"On Time","Early"))</f>
        <v>Late</v>
      </c>
      <c r="X145" t="str">
        <f>IF(Procurement[[#This Row],[ Warranty Period (Months) ]]&lt;24,"Short",IF(Procurement[[#This Row],[ Warranty Period (Months) ]]&lt;36,"Medium","Long"))</f>
        <v>Medium</v>
      </c>
    </row>
    <row r="146" spans="1:24" x14ac:dyDescent="0.3">
      <c r="A146" s="2">
        <v>145</v>
      </c>
      <c r="B146" t="s">
        <v>505</v>
      </c>
      <c r="C146" t="s">
        <v>463</v>
      </c>
      <c r="D146" t="s">
        <v>464</v>
      </c>
      <c r="E146" t="s">
        <v>114</v>
      </c>
      <c r="F146" t="s">
        <v>477</v>
      </c>
      <c r="G146" s="2">
        <v>1</v>
      </c>
      <c r="H146" s="3">
        <v>40000</v>
      </c>
      <c r="I146" t="s">
        <v>272</v>
      </c>
      <c r="J146" t="s">
        <v>54</v>
      </c>
      <c r="K146" s="2">
        <v>7755332211</v>
      </c>
      <c r="L146" t="s">
        <v>478</v>
      </c>
      <c r="M146" t="s">
        <v>56</v>
      </c>
      <c r="N146" s="4">
        <v>45311</v>
      </c>
      <c r="O146" s="4">
        <v>45337</v>
      </c>
      <c r="P146">
        <f>Procurement[[#This Row],[ Date Delivered ]]-Procurement[[#This Row],[ Date Ordered ]]</f>
        <v>26</v>
      </c>
      <c r="Q146" s="2">
        <v>48</v>
      </c>
      <c r="R146" s="3">
        <v>2000</v>
      </c>
      <c r="S146" s="3">
        <v>1200</v>
      </c>
      <c r="T146" s="3">
        <f>Procurement[[#This Row],[ Quantity ]]*Procurement[[#This Row],[ Unit Price (USD) ]]</f>
        <v>40000</v>
      </c>
      <c r="U146" s="3">
        <f>Procurement[[#This Row],[Total Procurement Cost]]+Procurement[[#This Row],[ Maintenance Cost (USD/year) ]]+Procurement[[#This Row],[ Installation Cost (USD) ]]</f>
        <v>43200</v>
      </c>
      <c r="V146" t="s">
        <v>28</v>
      </c>
      <c r="W146" t="str">
        <f>IF(Procurement[[#This Row],[Delivery Days]]&gt;0,"Late",IF(Procurement[[#This Row],[Delivery Days]]=0,"On Time","Early"))</f>
        <v>Late</v>
      </c>
      <c r="X146" t="str">
        <f>IF(Procurement[[#This Row],[ Warranty Period (Months) ]]&lt;24,"Short",IF(Procurement[[#This Row],[ Warranty Period (Months) ]]&lt;36,"Medium","Long"))</f>
        <v>Long</v>
      </c>
    </row>
    <row r="147" spans="1:24" x14ac:dyDescent="0.3">
      <c r="A147" s="2">
        <v>146</v>
      </c>
      <c r="B147" t="s">
        <v>485</v>
      </c>
      <c r="C147" t="s">
        <v>486</v>
      </c>
      <c r="D147" t="s">
        <v>487</v>
      </c>
      <c r="E147" t="s">
        <v>238</v>
      </c>
      <c r="F147" t="s">
        <v>518</v>
      </c>
      <c r="G147" s="2">
        <v>1</v>
      </c>
      <c r="H147" s="3">
        <v>80000</v>
      </c>
      <c r="I147" t="s">
        <v>519</v>
      </c>
      <c r="J147" t="s">
        <v>54</v>
      </c>
      <c r="K147" s="2">
        <v>7755332211</v>
      </c>
      <c r="L147" t="s">
        <v>520</v>
      </c>
      <c r="M147" t="s">
        <v>75</v>
      </c>
      <c r="N147" s="4">
        <v>45402</v>
      </c>
      <c r="O147" s="4">
        <v>45427</v>
      </c>
      <c r="P147">
        <f>Procurement[[#This Row],[ Date Delivered ]]-Procurement[[#This Row],[ Date Ordered ]]</f>
        <v>25</v>
      </c>
      <c r="Q147" s="2">
        <v>60</v>
      </c>
      <c r="R147" s="3">
        <v>3000</v>
      </c>
      <c r="S147" s="3">
        <v>2000</v>
      </c>
      <c r="T147" s="3">
        <f>Procurement[[#This Row],[ Quantity ]]*Procurement[[#This Row],[ Unit Price (USD) ]]</f>
        <v>80000</v>
      </c>
      <c r="U147" s="3">
        <f>Procurement[[#This Row],[Total Procurement Cost]]+Procurement[[#This Row],[ Maintenance Cost (USD/year) ]]+Procurement[[#This Row],[ Installation Cost (USD) ]]</f>
        <v>85000</v>
      </c>
      <c r="V147" t="s">
        <v>28</v>
      </c>
      <c r="W147" t="str">
        <f>IF(Procurement[[#This Row],[Delivery Days]]&gt;0,"Late",IF(Procurement[[#This Row],[Delivery Days]]=0,"On Time","Early"))</f>
        <v>Late</v>
      </c>
      <c r="X147" t="str">
        <f>IF(Procurement[[#This Row],[ Warranty Period (Months) ]]&lt;24,"Short",IF(Procurement[[#This Row],[ Warranty Period (Months) ]]&lt;36,"Medium","Long"))</f>
        <v>Long</v>
      </c>
    </row>
    <row r="148" spans="1:24" x14ac:dyDescent="0.3">
      <c r="A148" s="2">
        <v>147</v>
      </c>
      <c r="B148" t="s">
        <v>517</v>
      </c>
      <c r="C148" t="s">
        <v>407</v>
      </c>
      <c r="D148" t="s">
        <v>490</v>
      </c>
      <c r="E148" t="s">
        <v>114</v>
      </c>
      <c r="F148" t="s">
        <v>522</v>
      </c>
      <c r="G148" s="2">
        <v>1</v>
      </c>
      <c r="H148" s="3">
        <v>10000</v>
      </c>
      <c r="I148" t="s">
        <v>523</v>
      </c>
      <c r="J148" t="s">
        <v>524</v>
      </c>
      <c r="K148" s="2">
        <v>3322114455</v>
      </c>
      <c r="L148" t="s">
        <v>525</v>
      </c>
      <c r="M148" t="s">
        <v>27</v>
      </c>
      <c r="N148" s="4">
        <v>45366</v>
      </c>
      <c r="O148" s="4">
        <v>45392</v>
      </c>
      <c r="P148">
        <f>Procurement[[#This Row],[ Date Delivered ]]-Procurement[[#This Row],[ Date Ordered ]]</f>
        <v>26</v>
      </c>
      <c r="Q148" s="2">
        <v>36</v>
      </c>
      <c r="R148" s="3">
        <v>1200</v>
      </c>
      <c r="S148" s="3">
        <v>800</v>
      </c>
      <c r="T148" s="3">
        <f>Procurement[[#This Row],[ Quantity ]]*Procurement[[#This Row],[ Unit Price (USD) ]]</f>
        <v>10000</v>
      </c>
      <c r="U148" s="3">
        <f>Procurement[[#This Row],[Total Procurement Cost]]+Procurement[[#This Row],[ Maintenance Cost (USD/year) ]]+Procurement[[#This Row],[ Installation Cost (USD) ]]</f>
        <v>12000</v>
      </c>
      <c r="V148" t="s">
        <v>28</v>
      </c>
      <c r="W148" t="str">
        <f>IF(Procurement[[#This Row],[Delivery Days]]&gt;0,"Late",IF(Procurement[[#This Row],[Delivery Days]]=0,"On Time","Early"))</f>
        <v>Late</v>
      </c>
      <c r="X148" t="str">
        <f>IF(Procurement[[#This Row],[ Warranty Period (Months) ]]&lt;24,"Short",IF(Procurement[[#This Row],[ Warranty Period (Months) ]]&lt;36,"Medium","Long"))</f>
        <v>Long</v>
      </c>
    </row>
    <row r="149" spans="1:24" x14ac:dyDescent="0.3">
      <c r="A149" s="2">
        <v>148</v>
      </c>
      <c r="B149" t="s">
        <v>521</v>
      </c>
      <c r="C149" t="s">
        <v>492</v>
      </c>
      <c r="D149" t="s">
        <v>493</v>
      </c>
      <c r="E149" t="s">
        <v>231</v>
      </c>
      <c r="F149" t="s">
        <v>488</v>
      </c>
      <c r="G149" s="2">
        <v>1</v>
      </c>
      <c r="H149" s="3">
        <v>50000</v>
      </c>
      <c r="I149" t="s">
        <v>335</v>
      </c>
      <c r="J149" t="s">
        <v>44</v>
      </c>
      <c r="K149" s="2">
        <v>3322114455</v>
      </c>
      <c r="L149" t="s">
        <v>470</v>
      </c>
      <c r="M149" t="s">
        <v>46</v>
      </c>
      <c r="N149" s="4">
        <v>45356</v>
      </c>
      <c r="O149" s="4">
        <v>45379</v>
      </c>
      <c r="P149">
        <f>Procurement[[#This Row],[ Date Delivered ]]-Procurement[[#This Row],[ Date Ordered ]]</f>
        <v>23</v>
      </c>
      <c r="Q149" s="2">
        <v>36</v>
      </c>
      <c r="R149" s="3">
        <v>1800</v>
      </c>
      <c r="S149" s="3">
        <v>1000</v>
      </c>
      <c r="T149" s="3">
        <f>Procurement[[#This Row],[ Quantity ]]*Procurement[[#This Row],[ Unit Price (USD) ]]</f>
        <v>50000</v>
      </c>
      <c r="U149" s="3">
        <f>Procurement[[#This Row],[Total Procurement Cost]]+Procurement[[#This Row],[ Maintenance Cost (USD/year) ]]+Procurement[[#This Row],[ Installation Cost (USD) ]]</f>
        <v>52800</v>
      </c>
      <c r="V149" t="s">
        <v>47</v>
      </c>
      <c r="W149" t="str">
        <f>IF(Procurement[[#This Row],[Delivery Days]]&gt;0,"Late",IF(Procurement[[#This Row],[Delivery Days]]=0,"On Time","Early"))</f>
        <v>Late</v>
      </c>
      <c r="X149" t="str">
        <f>IF(Procurement[[#This Row],[ Warranty Period (Months) ]]&lt;24,"Short",IF(Procurement[[#This Row],[ Warranty Period (Months) ]]&lt;36,"Medium","Long"))</f>
        <v>Long</v>
      </c>
    </row>
    <row r="150" spans="1:24" x14ac:dyDescent="0.3">
      <c r="A150" s="2">
        <v>149</v>
      </c>
      <c r="B150" t="s">
        <v>526</v>
      </c>
      <c r="C150" t="s">
        <v>496</v>
      </c>
      <c r="D150" t="s">
        <v>497</v>
      </c>
      <c r="E150" t="s">
        <v>216</v>
      </c>
      <c r="F150" t="s">
        <v>509</v>
      </c>
      <c r="G150" s="2">
        <v>1</v>
      </c>
      <c r="H150" s="3">
        <v>5000</v>
      </c>
      <c r="I150" t="s">
        <v>322</v>
      </c>
      <c r="J150" t="s">
        <v>219</v>
      </c>
      <c r="K150" s="2">
        <v>7755332211</v>
      </c>
      <c r="L150" t="s">
        <v>452</v>
      </c>
      <c r="M150" t="s">
        <v>221</v>
      </c>
      <c r="N150" s="4">
        <v>45342</v>
      </c>
      <c r="O150" s="4">
        <v>45369</v>
      </c>
      <c r="P150">
        <f>Procurement[[#This Row],[ Date Delivered ]]-Procurement[[#This Row],[ Date Ordered ]]</f>
        <v>27</v>
      </c>
      <c r="Q150" s="2">
        <v>24</v>
      </c>
      <c r="R150" s="3">
        <v>800</v>
      </c>
      <c r="S150" s="3">
        <v>500</v>
      </c>
      <c r="T150" s="3">
        <f>Procurement[[#This Row],[ Quantity ]]*Procurement[[#This Row],[ Unit Price (USD) ]]</f>
        <v>5000</v>
      </c>
      <c r="U150" s="3">
        <f>Procurement[[#This Row],[Total Procurement Cost]]+Procurement[[#This Row],[ Maintenance Cost (USD/year) ]]+Procurement[[#This Row],[ Installation Cost (USD) ]]</f>
        <v>6300</v>
      </c>
      <c r="V150" t="s">
        <v>47</v>
      </c>
      <c r="W150" t="str">
        <f>IF(Procurement[[#This Row],[Delivery Days]]&gt;0,"Late",IF(Procurement[[#This Row],[Delivery Days]]=0,"On Time","Early"))</f>
        <v>Late</v>
      </c>
      <c r="X150" t="str">
        <f>IF(Procurement[[#This Row],[ Warranty Period (Months) ]]&lt;24,"Short",IF(Procurement[[#This Row],[ Warranty Period (Months) ]]&lt;36,"Medium","Long"))</f>
        <v>Medium</v>
      </c>
    </row>
    <row r="151" spans="1:24" x14ac:dyDescent="0.3">
      <c r="A151" s="2">
        <v>150</v>
      </c>
      <c r="B151" t="s">
        <v>527</v>
      </c>
      <c r="C151" t="s">
        <v>445</v>
      </c>
      <c r="D151" t="s">
        <v>511</v>
      </c>
      <c r="E151" t="s">
        <v>216</v>
      </c>
      <c r="F151" t="s">
        <v>494</v>
      </c>
      <c r="G151" s="2">
        <v>1</v>
      </c>
      <c r="H151" s="3">
        <v>5000</v>
      </c>
      <c r="I151" t="s">
        <v>322</v>
      </c>
      <c r="J151" t="s">
        <v>219</v>
      </c>
      <c r="K151" s="2">
        <v>7755332211</v>
      </c>
      <c r="L151" t="s">
        <v>452</v>
      </c>
      <c r="M151" t="s">
        <v>221</v>
      </c>
      <c r="N151" s="4">
        <v>45301</v>
      </c>
      <c r="O151" s="4">
        <v>45327</v>
      </c>
      <c r="P151">
        <f>Procurement[[#This Row],[ Date Delivered ]]-Procurement[[#This Row],[ Date Ordered ]]</f>
        <v>26</v>
      </c>
      <c r="Q151" s="2">
        <v>24</v>
      </c>
      <c r="R151" s="3">
        <v>800</v>
      </c>
      <c r="S151" s="3">
        <v>500</v>
      </c>
      <c r="T151" s="3">
        <f>Procurement[[#This Row],[ Quantity ]]*Procurement[[#This Row],[ Unit Price (USD) ]]</f>
        <v>5000</v>
      </c>
      <c r="U151" s="3">
        <f>Procurement[[#This Row],[Total Procurement Cost]]+Procurement[[#This Row],[ Maintenance Cost (USD/year) ]]+Procurement[[#This Row],[ Installation Cost (USD) ]]</f>
        <v>6300</v>
      </c>
      <c r="V151" t="s">
        <v>47</v>
      </c>
      <c r="W151" t="str">
        <f>IF(Procurement[[#This Row],[Delivery Days]]&gt;0,"Late",IF(Procurement[[#This Row],[Delivery Days]]=0,"On Time","Early"))</f>
        <v>Late</v>
      </c>
      <c r="X151" t="str">
        <f>IF(Procurement[[#This Row],[ Warranty Period (Months) ]]&lt;24,"Short",IF(Procurement[[#This Row],[ Warranty Period (Months) ]]&lt;36,"Medium","Long"))</f>
        <v>Medium</v>
      </c>
    </row>
    <row r="152" spans="1:24" x14ac:dyDescent="0.3">
      <c r="A152" s="2">
        <v>151</v>
      </c>
      <c r="B152" t="s">
        <v>499</v>
      </c>
      <c r="C152" t="s">
        <v>500</v>
      </c>
      <c r="D152" t="s">
        <v>501</v>
      </c>
      <c r="E152" t="s">
        <v>238</v>
      </c>
      <c r="F152" t="s">
        <v>400</v>
      </c>
      <c r="G152" s="2">
        <v>1</v>
      </c>
      <c r="H152" s="3">
        <v>30000</v>
      </c>
      <c r="I152" t="s">
        <v>401</v>
      </c>
      <c r="J152" t="s">
        <v>91</v>
      </c>
      <c r="K152" s="2">
        <v>6677889900</v>
      </c>
      <c r="L152" t="s">
        <v>474</v>
      </c>
      <c r="M152" t="s">
        <v>93</v>
      </c>
      <c r="N152" s="4">
        <v>45350</v>
      </c>
      <c r="O152" s="4">
        <v>45376</v>
      </c>
      <c r="P152">
        <f>Procurement[[#This Row],[ Date Delivered ]]-Procurement[[#This Row],[ Date Ordered ]]</f>
        <v>26</v>
      </c>
      <c r="Q152" s="2">
        <v>36</v>
      </c>
      <c r="R152" s="3">
        <v>1500</v>
      </c>
      <c r="S152" s="3">
        <v>800</v>
      </c>
      <c r="T152" s="3">
        <f>Procurement[[#This Row],[ Quantity ]]*Procurement[[#This Row],[ Unit Price (USD) ]]</f>
        <v>30000</v>
      </c>
      <c r="U152" s="3">
        <f>Procurement[[#This Row],[Total Procurement Cost]]+Procurement[[#This Row],[ Maintenance Cost (USD/year) ]]+Procurement[[#This Row],[ Installation Cost (USD) ]]</f>
        <v>32300</v>
      </c>
      <c r="V152" t="s">
        <v>57</v>
      </c>
      <c r="W152" t="str">
        <f>IF(Procurement[[#This Row],[Delivery Days]]&gt;0,"Late",IF(Procurement[[#This Row],[Delivery Days]]=0,"On Time","Early"))</f>
        <v>Late</v>
      </c>
      <c r="X152" t="str">
        <f>IF(Procurement[[#This Row],[ Warranty Period (Months) ]]&lt;24,"Short",IF(Procurement[[#This Row],[ Warranty Period (Months) ]]&lt;36,"Medium","Long"))</f>
        <v>Long</v>
      </c>
    </row>
    <row r="153" spans="1:24" x14ac:dyDescent="0.3">
      <c r="A153" s="2">
        <v>152</v>
      </c>
      <c r="B153" t="s">
        <v>502</v>
      </c>
      <c r="C153" t="s">
        <v>449</v>
      </c>
      <c r="D153" t="s">
        <v>450</v>
      </c>
      <c r="E153" t="s">
        <v>231</v>
      </c>
      <c r="F153" t="s">
        <v>379</v>
      </c>
      <c r="G153" s="2">
        <v>1</v>
      </c>
      <c r="H153" s="3">
        <v>20000</v>
      </c>
      <c r="I153" t="s">
        <v>380</v>
      </c>
      <c r="J153" t="s">
        <v>44</v>
      </c>
      <c r="K153" s="2">
        <v>3322114455</v>
      </c>
      <c r="L153" t="s">
        <v>466</v>
      </c>
      <c r="M153" t="s">
        <v>46</v>
      </c>
      <c r="N153" s="4">
        <v>45384</v>
      </c>
      <c r="O153" s="4">
        <v>45407</v>
      </c>
      <c r="P153">
        <f>Procurement[[#This Row],[ Date Delivered ]]-Procurement[[#This Row],[ Date Ordered ]]</f>
        <v>23</v>
      </c>
      <c r="Q153" s="2">
        <v>36</v>
      </c>
      <c r="R153" s="3">
        <v>2500</v>
      </c>
      <c r="S153" s="3">
        <v>1500</v>
      </c>
      <c r="T153" s="3">
        <f>Procurement[[#This Row],[ Quantity ]]*Procurement[[#This Row],[ Unit Price (USD) ]]</f>
        <v>20000</v>
      </c>
      <c r="U153" s="3">
        <f>Procurement[[#This Row],[Total Procurement Cost]]+Procurement[[#This Row],[ Maintenance Cost (USD/year) ]]+Procurement[[#This Row],[ Installation Cost (USD) ]]</f>
        <v>24000</v>
      </c>
      <c r="V153" t="s">
        <v>28</v>
      </c>
      <c r="W153" t="str">
        <f>IF(Procurement[[#This Row],[Delivery Days]]&gt;0,"Late",IF(Procurement[[#This Row],[Delivery Days]]=0,"On Time","Early"))</f>
        <v>Late</v>
      </c>
      <c r="X153" t="str">
        <f>IF(Procurement[[#This Row],[ Warranty Period (Months) ]]&lt;24,"Short",IF(Procurement[[#This Row],[ Warranty Period (Months) ]]&lt;36,"Medium","Long"))</f>
        <v>Long</v>
      </c>
    </row>
    <row r="154" spans="1:24" x14ac:dyDescent="0.3">
      <c r="A154" s="2">
        <v>153</v>
      </c>
      <c r="B154" t="s">
        <v>503</v>
      </c>
      <c r="C154" t="s">
        <v>454</v>
      </c>
      <c r="D154" t="s">
        <v>455</v>
      </c>
      <c r="E154" t="s">
        <v>216</v>
      </c>
      <c r="F154" t="s">
        <v>398</v>
      </c>
      <c r="G154" s="2">
        <v>1</v>
      </c>
      <c r="H154" s="3">
        <v>8000</v>
      </c>
      <c r="I154" t="s">
        <v>322</v>
      </c>
      <c r="J154" t="s">
        <v>219</v>
      </c>
      <c r="K154" s="2">
        <v>7755332211</v>
      </c>
      <c r="L154" t="s">
        <v>452</v>
      </c>
      <c r="M154" t="s">
        <v>221</v>
      </c>
      <c r="N154" s="4">
        <v>45342</v>
      </c>
      <c r="O154" s="4">
        <v>45369</v>
      </c>
      <c r="P154">
        <f>Procurement[[#This Row],[ Date Delivered ]]-Procurement[[#This Row],[ Date Ordered ]]</f>
        <v>27</v>
      </c>
      <c r="Q154" s="2">
        <v>24</v>
      </c>
      <c r="R154" s="3">
        <v>1000</v>
      </c>
      <c r="S154" s="3">
        <v>500</v>
      </c>
      <c r="T154" s="3">
        <f>Procurement[[#This Row],[ Quantity ]]*Procurement[[#This Row],[ Unit Price (USD) ]]</f>
        <v>8000</v>
      </c>
      <c r="U154" s="3">
        <f>Procurement[[#This Row],[Total Procurement Cost]]+Procurement[[#This Row],[ Maintenance Cost (USD/year) ]]+Procurement[[#This Row],[ Installation Cost (USD) ]]</f>
        <v>9500</v>
      </c>
      <c r="V154" t="s">
        <v>47</v>
      </c>
      <c r="W154" t="str">
        <f>IF(Procurement[[#This Row],[Delivery Days]]&gt;0,"Late",IF(Procurement[[#This Row],[Delivery Days]]=0,"On Time","Early"))</f>
        <v>Late</v>
      </c>
      <c r="X154" t="str">
        <f>IF(Procurement[[#This Row],[ Warranty Period (Months) ]]&lt;24,"Short",IF(Procurement[[#This Row],[ Warranty Period (Months) ]]&lt;36,"Medium","Long"))</f>
        <v>Medium</v>
      </c>
    </row>
    <row r="155" spans="1:24" x14ac:dyDescent="0.3">
      <c r="A155" s="2">
        <v>154</v>
      </c>
      <c r="B155" t="s">
        <v>504</v>
      </c>
      <c r="C155" t="s">
        <v>458</v>
      </c>
      <c r="D155" t="s">
        <v>459</v>
      </c>
      <c r="E155" t="s">
        <v>231</v>
      </c>
      <c r="F155" t="s">
        <v>482</v>
      </c>
      <c r="G155" s="2">
        <v>1</v>
      </c>
      <c r="H155" s="3">
        <v>60000</v>
      </c>
      <c r="I155" t="s">
        <v>483</v>
      </c>
      <c r="J155" t="s">
        <v>143</v>
      </c>
      <c r="K155" s="2">
        <v>3322114455</v>
      </c>
      <c r="L155" t="s">
        <v>484</v>
      </c>
      <c r="M155" t="s">
        <v>145</v>
      </c>
      <c r="N155" s="4">
        <v>45392</v>
      </c>
      <c r="O155" s="4">
        <v>45417</v>
      </c>
      <c r="P155">
        <f>Procurement[[#This Row],[ Date Delivered ]]-Procurement[[#This Row],[ Date Ordered ]]</f>
        <v>25</v>
      </c>
      <c r="Q155" s="2">
        <v>48</v>
      </c>
      <c r="R155" s="3">
        <v>2500</v>
      </c>
      <c r="S155" s="3">
        <v>1500</v>
      </c>
      <c r="T155" s="3">
        <f>Procurement[[#This Row],[ Quantity ]]*Procurement[[#This Row],[ Unit Price (USD) ]]</f>
        <v>60000</v>
      </c>
      <c r="U155" s="3">
        <f>Procurement[[#This Row],[Total Procurement Cost]]+Procurement[[#This Row],[ Maintenance Cost (USD/year) ]]+Procurement[[#This Row],[ Installation Cost (USD) ]]</f>
        <v>64000</v>
      </c>
      <c r="V155" t="s">
        <v>28</v>
      </c>
      <c r="W155" t="str">
        <f>IF(Procurement[[#This Row],[Delivery Days]]&gt;0,"Late",IF(Procurement[[#This Row],[Delivery Days]]=0,"On Time","Early"))</f>
        <v>Late</v>
      </c>
      <c r="X155" t="str">
        <f>IF(Procurement[[#This Row],[ Warranty Period (Months) ]]&lt;24,"Short",IF(Procurement[[#This Row],[ Warranty Period (Months) ]]&lt;36,"Medium","Long"))</f>
        <v>Long</v>
      </c>
    </row>
    <row r="156" spans="1:24" x14ac:dyDescent="0.3">
      <c r="A156" s="2">
        <v>155</v>
      </c>
      <c r="B156" t="s">
        <v>505</v>
      </c>
      <c r="C156" t="s">
        <v>463</v>
      </c>
      <c r="D156" t="s">
        <v>464</v>
      </c>
      <c r="E156" t="s">
        <v>238</v>
      </c>
      <c r="F156" t="s">
        <v>528</v>
      </c>
      <c r="G156" s="2">
        <v>1</v>
      </c>
      <c r="H156" s="3">
        <v>200000</v>
      </c>
      <c r="I156" t="s">
        <v>529</v>
      </c>
      <c r="J156" t="s">
        <v>25</v>
      </c>
      <c r="K156" s="2">
        <v>1122334455</v>
      </c>
      <c r="L156" t="s">
        <v>530</v>
      </c>
      <c r="M156" t="s">
        <v>27</v>
      </c>
      <c r="N156" s="4">
        <v>45352</v>
      </c>
      <c r="O156" s="4">
        <v>45381</v>
      </c>
      <c r="P156">
        <f>Procurement[[#This Row],[ Date Delivered ]]-Procurement[[#This Row],[ Date Ordered ]]</f>
        <v>29</v>
      </c>
      <c r="Q156" s="2">
        <v>60</v>
      </c>
      <c r="R156" s="3">
        <v>5000</v>
      </c>
      <c r="S156" s="3">
        <v>3000</v>
      </c>
      <c r="T156" s="3">
        <f>Procurement[[#This Row],[ Quantity ]]*Procurement[[#This Row],[ Unit Price (USD) ]]</f>
        <v>200000</v>
      </c>
      <c r="U156" s="3">
        <f>Procurement[[#This Row],[Total Procurement Cost]]+Procurement[[#This Row],[ Maintenance Cost (USD/year) ]]+Procurement[[#This Row],[ Installation Cost (USD) ]]</f>
        <v>208000</v>
      </c>
      <c r="V156" t="s">
        <v>28</v>
      </c>
      <c r="W156" t="str">
        <f>IF(Procurement[[#This Row],[Delivery Days]]&gt;0,"Late",IF(Procurement[[#This Row],[Delivery Days]]=0,"On Time","Early"))</f>
        <v>Late</v>
      </c>
      <c r="X156" t="str">
        <f>IF(Procurement[[#This Row],[ Warranty Period (Months) ]]&lt;24,"Short",IF(Procurement[[#This Row],[ Warranty Period (Months) ]]&lt;36,"Medium","Long"))</f>
        <v>Long</v>
      </c>
    </row>
    <row r="157" spans="1:24" x14ac:dyDescent="0.3">
      <c r="A157" s="2">
        <v>156</v>
      </c>
      <c r="B157" t="s">
        <v>485</v>
      </c>
      <c r="C157" t="s">
        <v>486</v>
      </c>
      <c r="D157" t="s">
        <v>487</v>
      </c>
      <c r="E157" t="s">
        <v>216</v>
      </c>
      <c r="F157" t="s">
        <v>509</v>
      </c>
      <c r="G157" s="2">
        <v>1</v>
      </c>
      <c r="H157" s="3">
        <v>5000</v>
      </c>
      <c r="I157" t="s">
        <v>322</v>
      </c>
      <c r="J157" t="s">
        <v>219</v>
      </c>
      <c r="K157" s="2">
        <v>7755332211</v>
      </c>
      <c r="L157" t="s">
        <v>452</v>
      </c>
      <c r="M157" t="s">
        <v>221</v>
      </c>
      <c r="N157" s="4">
        <v>45301</v>
      </c>
      <c r="O157" s="4">
        <v>45327</v>
      </c>
      <c r="P157">
        <f>Procurement[[#This Row],[ Date Delivered ]]-Procurement[[#This Row],[ Date Ordered ]]</f>
        <v>26</v>
      </c>
      <c r="Q157" s="2">
        <v>24</v>
      </c>
      <c r="R157" s="3">
        <v>800</v>
      </c>
      <c r="S157" s="3">
        <v>500</v>
      </c>
      <c r="T157" s="3">
        <f>Procurement[[#This Row],[ Quantity ]]*Procurement[[#This Row],[ Unit Price (USD) ]]</f>
        <v>5000</v>
      </c>
      <c r="U157" s="3">
        <f>Procurement[[#This Row],[Total Procurement Cost]]+Procurement[[#This Row],[ Maintenance Cost (USD/year) ]]+Procurement[[#This Row],[ Installation Cost (USD) ]]</f>
        <v>6300</v>
      </c>
      <c r="V157" t="s">
        <v>47</v>
      </c>
      <c r="W157" t="str">
        <f>IF(Procurement[[#This Row],[Delivery Days]]&gt;0,"Late",IF(Procurement[[#This Row],[Delivery Days]]=0,"On Time","Early"))</f>
        <v>Late</v>
      </c>
      <c r="X157" t="str">
        <f>IF(Procurement[[#This Row],[ Warranty Period (Months) ]]&lt;24,"Short",IF(Procurement[[#This Row],[ Warranty Period (Months) ]]&lt;36,"Medium","Long"))</f>
        <v>Medium</v>
      </c>
    </row>
    <row r="158" spans="1:24" x14ac:dyDescent="0.3">
      <c r="A158" s="2">
        <v>157</v>
      </c>
      <c r="B158" t="s">
        <v>517</v>
      </c>
      <c r="C158" t="s">
        <v>407</v>
      </c>
      <c r="D158" t="s">
        <v>490</v>
      </c>
      <c r="E158" t="s">
        <v>114</v>
      </c>
      <c r="F158" t="s">
        <v>522</v>
      </c>
      <c r="G158" s="2">
        <v>1</v>
      </c>
      <c r="H158" s="3">
        <v>10000</v>
      </c>
      <c r="I158" t="s">
        <v>523</v>
      </c>
      <c r="J158" t="s">
        <v>524</v>
      </c>
      <c r="K158" s="2">
        <v>3322114455</v>
      </c>
      <c r="L158" t="s">
        <v>525</v>
      </c>
      <c r="M158" t="s">
        <v>27</v>
      </c>
      <c r="N158" s="4">
        <v>45366</v>
      </c>
      <c r="O158" s="4">
        <v>45392</v>
      </c>
      <c r="P158">
        <f>Procurement[[#This Row],[ Date Delivered ]]-Procurement[[#This Row],[ Date Ordered ]]</f>
        <v>26</v>
      </c>
      <c r="Q158" s="2">
        <v>36</v>
      </c>
      <c r="R158" s="3">
        <v>1200</v>
      </c>
      <c r="S158" s="3">
        <v>800</v>
      </c>
      <c r="T158" s="3">
        <f>Procurement[[#This Row],[ Quantity ]]*Procurement[[#This Row],[ Unit Price (USD) ]]</f>
        <v>10000</v>
      </c>
      <c r="U158" s="3">
        <f>Procurement[[#This Row],[Total Procurement Cost]]+Procurement[[#This Row],[ Maintenance Cost (USD/year) ]]+Procurement[[#This Row],[ Installation Cost (USD) ]]</f>
        <v>12000</v>
      </c>
      <c r="V158" t="s">
        <v>28</v>
      </c>
      <c r="W158" t="str">
        <f>IF(Procurement[[#This Row],[Delivery Days]]&gt;0,"Late",IF(Procurement[[#This Row],[Delivery Days]]=0,"On Time","Early"))</f>
        <v>Late</v>
      </c>
      <c r="X158" t="str">
        <f>IF(Procurement[[#This Row],[ Warranty Period (Months) ]]&lt;24,"Short",IF(Procurement[[#This Row],[ Warranty Period (Months) ]]&lt;36,"Medium","Long"))</f>
        <v>Long</v>
      </c>
    </row>
    <row r="159" spans="1:24" x14ac:dyDescent="0.3">
      <c r="A159" s="2">
        <v>158</v>
      </c>
      <c r="B159" t="s">
        <v>521</v>
      </c>
      <c r="C159" t="s">
        <v>492</v>
      </c>
      <c r="D159" t="s">
        <v>493</v>
      </c>
      <c r="E159" t="s">
        <v>231</v>
      </c>
      <c r="F159" t="s">
        <v>488</v>
      </c>
      <c r="G159" s="2">
        <v>1</v>
      </c>
      <c r="H159" s="3">
        <v>50000</v>
      </c>
      <c r="I159" t="s">
        <v>335</v>
      </c>
      <c r="J159" t="s">
        <v>44</v>
      </c>
      <c r="K159" s="2">
        <v>3322114455</v>
      </c>
      <c r="L159" t="s">
        <v>470</v>
      </c>
      <c r="M159" t="s">
        <v>46</v>
      </c>
      <c r="N159" s="4">
        <v>45356</v>
      </c>
      <c r="O159" s="4">
        <v>45379</v>
      </c>
      <c r="P159">
        <f>Procurement[[#This Row],[ Date Delivered ]]-Procurement[[#This Row],[ Date Ordered ]]</f>
        <v>23</v>
      </c>
      <c r="Q159" s="2">
        <v>36</v>
      </c>
      <c r="R159" s="3">
        <v>1800</v>
      </c>
      <c r="S159" s="3">
        <v>1000</v>
      </c>
      <c r="T159" s="3">
        <f>Procurement[[#This Row],[ Quantity ]]*Procurement[[#This Row],[ Unit Price (USD) ]]</f>
        <v>50000</v>
      </c>
      <c r="U159" s="3">
        <f>Procurement[[#This Row],[Total Procurement Cost]]+Procurement[[#This Row],[ Maintenance Cost (USD/year) ]]+Procurement[[#This Row],[ Installation Cost (USD) ]]</f>
        <v>52800</v>
      </c>
      <c r="V159" t="s">
        <v>47</v>
      </c>
      <c r="W159" t="str">
        <f>IF(Procurement[[#This Row],[Delivery Days]]&gt;0,"Late",IF(Procurement[[#This Row],[Delivery Days]]=0,"On Time","Early"))</f>
        <v>Late</v>
      </c>
      <c r="X159" t="str">
        <f>IF(Procurement[[#This Row],[ Warranty Period (Months) ]]&lt;24,"Short",IF(Procurement[[#This Row],[ Warranty Period (Months) ]]&lt;36,"Medium","Long"))</f>
        <v>Long</v>
      </c>
    </row>
    <row r="160" spans="1:24" x14ac:dyDescent="0.3">
      <c r="A160" s="2">
        <v>159</v>
      </c>
      <c r="B160" t="s">
        <v>526</v>
      </c>
      <c r="C160" t="s">
        <v>496</v>
      </c>
      <c r="D160" t="s">
        <v>497</v>
      </c>
      <c r="E160" t="s">
        <v>216</v>
      </c>
      <c r="F160" t="s">
        <v>398</v>
      </c>
      <c r="G160" s="2">
        <v>1</v>
      </c>
      <c r="H160" s="3">
        <v>8000</v>
      </c>
      <c r="I160" t="s">
        <v>322</v>
      </c>
      <c r="J160" t="s">
        <v>219</v>
      </c>
      <c r="K160" s="2">
        <v>7755332211</v>
      </c>
      <c r="L160" t="s">
        <v>452</v>
      </c>
      <c r="M160" t="s">
        <v>221</v>
      </c>
      <c r="N160" s="4">
        <v>45342</v>
      </c>
      <c r="O160" s="4">
        <v>45369</v>
      </c>
      <c r="P160">
        <f>Procurement[[#This Row],[ Date Delivered ]]-Procurement[[#This Row],[ Date Ordered ]]</f>
        <v>27</v>
      </c>
      <c r="Q160" s="2">
        <v>24</v>
      </c>
      <c r="R160" s="3">
        <v>1000</v>
      </c>
      <c r="S160" s="3">
        <v>500</v>
      </c>
      <c r="T160" s="3">
        <f>Procurement[[#This Row],[ Quantity ]]*Procurement[[#This Row],[ Unit Price (USD) ]]</f>
        <v>8000</v>
      </c>
      <c r="U160" s="3">
        <f>Procurement[[#This Row],[Total Procurement Cost]]+Procurement[[#This Row],[ Maintenance Cost (USD/year) ]]+Procurement[[#This Row],[ Installation Cost (USD) ]]</f>
        <v>9500</v>
      </c>
      <c r="V160" t="s">
        <v>47</v>
      </c>
      <c r="W160" t="str">
        <f>IF(Procurement[[#This Row],[Delivery Days]]&gt;0,"Late",IF(Procurement[[#This Row],[Delivery Days]]=0,"On Time","Early"))</f>
        <v>Late</v>
      </c>
      <c r="X160" t="str">
        <f>IF(Procurement[[#This Row],[ Warranty Period (Months) ]]&lt;24,"Short",IF(Procurement[[#This Row],[ Warranty Period (Months) ]]&lt;36,"Medium","Long"))</f>
        <v>Medium</v>
      </c>
    </row>
    <row r="161" spans="1:24" x14ac:dyDescent="0.3">
      <c r="A161" s="2">
        <v>160</v>
      </c>
      <c r="B161" t="s">
        <v>527</v>
      </c>
      <c r="C161" t="s">
        <v>445</v>
      </c>
      <c r="D161" t="s">
        <v>511</v>
      </c>
      <c r="E161" t="s">
        <v>216</v>
      </c>
      <c r="F161" t="s">
        <v>494</v>
      </c>
      <c r="G161" s="2">
        <v>1</v>
      </c>
      <c r="H161" s="3">
        <v>5000</v>
      </c>
      <c r="I161" t="s">
        <v>322</v>
      </c>
      <c r="J161" t="s">
        <v>219</v>
      </c>
      <c r="K161" s="2">
        <v>7755332211</v>
      </c>
      <c r="L161" t="s">
        <v>452</v>
      </c>
      <c r="M161" t="s">
        <v>221</v>
      </c>
      <c r="N161" s="4">
        <v>45301</v>
      </c>
      <c r="O161" s="4">
        <v>45327</v>
      </c>
      <c r="P161">
        <f>Procurement[[#This Row],[ Date Delivered ]]-Procurement[[#This Row],[ Date Ordered ]]</f>
        <v>26</v>
      </c>
      <c r="Q161" s="2">
        <v>24</v>
      </c>
      <c r="R161" s="3">
        <v>800</v>
      </c>
      <c r="S161" s="3">
        <v>500</v>
      </c>
      <c r="T161" s="3">
        <f>Procurement[[#This Row],[ Quantity ]]*Procurement[[#This Row],[ Unit Price (USD) ]]</f>
        <v>5000</v>
      </c>
      <c r="U161" s="3">
        <f>Procurement[[#This Row],[Total Procurement Cost]]+Procurement[[#This Row],[ Maintenance Cost (USD/year) ]]+Procurement[[#This Row],[ Installation Cost (USD) ]]</f>
        <v>6300</v>
      </c>
      <c r="V161" t="s">
        <v>47</v>
      </c>
      <c r="W161" t="str">
        <f>IF(Procurement[[#This Row],[Delivery Days]]&gt;0,"Late",IF(Procurement[[#This Row],[Delivery Days]]=0,"On Time","Early"))</f>
        <v>Late</v>
      </c>
      <c r="X161" t="str">
        <f>IF(Procurement[[#This Row],[ Warranty Period (Months) ]]&lt;24,"Short",IF(Procurement[[#This Row],[ Warranty Period (Months) ]]&lt;36,"Medium","Long"))</f>
        <v>Medium</v>
      </c>
    </row>
    <row r="162" spans="1:24" x14ac:dyDescent="0.3">
      <c r="A162" s="2">
        <v>161</v>
      </c>
      <c r="B162" t="s">
        <v>499</v>
      </c>
      <c r="C162" t="s">
        <v>500</v>
      </c>
      <c r="D162" t="s">
        <v>501</v>
      </c>
      <c r="E162" t="s">
        <v>238</v>
      </c>
      <c r="F162" t="s">
        <v>400</v>
      </c>
      <c r="G162" s="2">
        <v>7</v>
      </c>
      <c r="H162" s="3">
        <v>30000</v>
      </c>
      <c r="I162" t="s">
        <v>401</v>
      </c>
      <c r="J162" t="s">
        <v>91</v>
      </c>
      <c r="K162" s="2">
        <v>6677889900</v>
      </c>
      <c r="L162" t="s">
        <v>474</v>
      </c>
      <c r="M162" t="s">
        <v>93</v>
      </c>
      <c r="N162" s="4">
        <v>45350</v>
      </c>
      <c r="O162" s="4">
        <v>45376</v>
      </c>
      <c r="P162">
        <f>Procurement[[#This Row],[ Date Delivered ]]-Procurement[[#This Row],[ Date Ordered ]]</f>
        <v>26</v>
      </c>
      <c r="Q162" s="2">
        <v>36</v>
      </c>
      <c r="R162" s="3">
        <v>1500</v>
      </c>
      <c r="S162" s="3">
        <v>800</v>
      </c>
      <c r="T162" s="3">
        <f>Procurement[[#This Row],[ Quantity ]]*Procurement[[#This Row],[ Unit Price (USD) ]]</f>
        <v>210000</v>
      </c>
      <c r="U162" s="3">
        <f>Procurement[[#This Row],[Total Procurement Cost]]+Procurement[[#This Row],[ Maintenance Cost (USD/year) ]]+Procurement[[#This Row],[ Installation Cost (USD) ]]</f>
        <v>212300</v>
      </c>
      <c r="V162" t="s">
        <v>57</v>
      </c>
      <c r="W162" t="str">
        <f>IF(Procurement[[#This Row],[Delivery Days]]&gt;0,"Late",IF(Procurement[[#This Row],[Delivery Days]]=0,"On Time","Early"))</f>
        <v>Late</v>
      </c>
      <c r="X162" t="str">
        <f>IF(Procurement[[#This Row],[ Warranty Period (Months) ]]&lt;24,"Short",IF(Procurement[[#This Row],[ Warranty Period (Months) ]]&lt;36,"Medium","Long"))</f>
        <v>Long</v>
      </c>
    </row>
    <row r="163" spans="1:24" x14ac:dyDescent="0.3">
      <c r="A163" s="2">
        <v>162</v>
      </c>
      <c r="B163" t="s">
        <v>502</v>
      </c>
      <c r="C163" t="s">
        <v>449</v>
      </c>
      <c r="D163" t="s">
        <v>450</v>
      </c>
      <c r="E163" t="s">
        <v>216</v>
      </c>
      <c r="F163" t="s">
        <v>398</v>
      </c>
      <c r="G163" s="2">
        <v>5</v>
      </c>
      <c r="H163" s="3">
        <v>8000</v>
      </c>
      <c r="I163" t="s">
        <v>322</v>
      </c>
      <c r="J163" t="s">
        <v>219</v>
      </c>
      <c r="K163" s="2">
        <v>7755332211</v>
      </c>
      <c r="L163" t="s">
        <v>452</v>
      </c>
      <c r="M163" t="s">
        <v>221</v>
      </c>
      <c r="N163" s="4">
        <v>45342</v>
      </c>
      <c r="O163" s="4">
        <v>45369</v>
      </c>
      <c r="P163">
        <f>Procurement[[#This Row],[ Date Delivered ]]-Procurement[[#This Row],[ Date Ordered ]]</f>
        <v>27</v>
      </c>
      <c r="Q163" s="2">
        <v>24</v>
      </c>
      <c r="R163" s="3">
        <v>1000</v>
      </c>
      <c r="S163" s="3">
        <v>500</v>
      </c>
      <c r="T163" s="3">
        <f>Procurement[[#This Row],[ Quantity ]]*Procurement[[#This Row],[ Unit Price (USD) ]]</f>
        <v>40000</v>
      </c>
      <c r="U163" s="3">
        <f>Procurement[[#This Row],[Total Procurement Cost]]+Procurement[[#This Row],[ Maintenance Cost (USD/year) ]]+Procurement[[#This Row],[ Installation Cost (USD) ]]</f>
        <v>41500</v>
      </c>
      <c r="V163" t="s">
        <v>47</v>
      </c>
      <c r="W163" t="str">
        <f>IF(Procurement[[#This Row],[Delivery Days]]&gt;0,"Late",IF(Procurement[[#This Row],[Delivery Days]]=0,"On Time","Early"))</f>
        <v>Late</v>
      </c>
      <c r="X163" t="str">
        <f>IF(Procurement[[#This Row],[ Warranty Period (Months) ]]&lt;24,"Short",IF(Procurement[[#This Row],[ Warranty Period (Months) ]]&lt;36,"Medium","Long"))</f>
        <v>Medium</v>
      </c>
    </row>
    <row r="164" spans="1:24" x14ac:dyDescent="0.3">
      <c r="A164" s="2">
        <v>163</v>
      </c>
      <c r="B164" t="s">
        <v>503</v>
      </c>
      <c r="C164" t="s">
        <v>454</v>
      </c>
      <c r="D164" t="s">
        <v>455</v>
      </c>
      <c r="E164" t="s">
        <v>231</v>
      </c>
      <c r="F164" t="s">
        <v>482</v>
      </c>
      <c r="G164" s="2">
        <v>3</v>
      </c>
      <c r="H164" s="3">
        <v>60000</v>
      </c>
      <c r="I164" t="s">
        <v>483</v>
      </c>
      <c r="J164" t="s">
        <v>143</v>
      </c>
      <c r="K164" s="2">
        <v>3322114455</v>
      </c>
      <c r="L164" t="s">
        <v>484</v>
      </c>
      <c r="M164" t="s">
        <v>145</v>
      </c>
      <c r="N164" s="4">
        <v>45392</v>
      </c>
      <c r="O164" s="4">
        <v>45417</v>
      </c>
      <c r="P164">
        <f>Procurement[[#This Row],[ Date Delivered ]]-Procurement[[#This Row],[ Date Ordered ]]</f>
        <v>25</v>
      </c>
      <c r="Q164" s="2">
        <v>48</v>
      </c>
      <c r="R164" s="3">
        <v>2500</v>
      </c>
      <c r="S164" s="3">
        <v>1500</v>
      </c>
      <c r="T164" s="3">
        <f>Procurement[[#This Row],[ Quantity ]]*Procurement[[#This Row],[ Unit Price (USD) ]]</f>
        <v>180000</v>
      </c>
      <c r="U164" s="3">
        <f>Procurement[[#This Row],[Total Procurement Cost]]+Procurement[[#This Row],[ Maintenance Cost (USD/year) ]]+Procurement[[#This Row],[ Installation Cost (USD) ]]</f>
        <v>184000</v>
      </c>
      <c r="V164" t="s">
        <v>28</v>
      </c>
      <c r="W164" t="str">
        <f>IF(Procurement[[#This Row],[Delivery Days]]&gt;0,"Late",IF(Procurement[[#This Row],[Delivery Days]]=0,"On Time","Early"))</f>
        <v>Late</v>
      </c>
      <c r="X164" t="str">
        <f>IF(Procurement[[#This Row],[ Warranty Period (Months) ]]&lt;24,"Short",IF(Procurement[[#This Row],[ Warranty Period (Months) ]]&lt;36,"Medium","Long"))</f>
        <v>Long</v>
      </c>
    </row>
    <row r="165" spans="1:24" x14ac:dyDescent="0.3">
      <c r="A165" s="2">
        <v>164</v>
      </c>
      <c r="B165" t="s">
        <v>504</v>
      </c>
      <c r="C165" t="s">
        <v>458</v>
      </c>
      <c r="D165" t="s">
        <v>459</v>
      </c>
      <c r="E165" t="s">
        <v>114</v>
      </c>
      <c r="F165" t="s">
        <v>522</v>
      </c>
      <c r="G165" s="2">
        <v>2</v>
      </c>
      <c r="H165" s="3">
        <v>10000</v>
      </c>
      <c r="I165" t="s">
        <v>523</v>
      </c>
      <c r="J165" t="s">
        <v>524</v>
      </c>
      <c r="K165" s="2">
        <v>3322114455</v>
      </c>
      <c r="L165" t="s">
        <v>525</v>
      </c>
      <c r="M165" t="s">
        <v>27</v>
      </c>
      <c r="N165" s="4">
        <v>45366</v>
      </c>
      <c r="O165" s="4">
        <v>45392</v>
      </c>
      <c r="P165">
        <f>Procurement[[#This Row],[ Date Delivered ]]-Procurement[[#This Row],[ Date Ordered ]]</f>
        <v>26</v>
      </c>
      <c r="Q165" s="2">
        <v>36</v>
      </c>
      <c r="R165" s="3">
        <v>1200</v>
      </c>
      <c r="S165" s="3">
        <v>800</v>
      </c>
      <c r="T165" s="3">
        <f>Procurement[[#This Row],[ Quantity ]]*Procurement[[#This Row],[ Unit Price (USD) ]]</f>
        <v>20000</v>
      </c>
      <c r="U165" s="3">
        <f>Procurement[[#This Row],[Total Procurement Cost]]+Procurement[[#This Row],[ Maintenance Cost (USD/year) ]]+Procurement[[#This Row],[ Installation Cost (USD) ]]</f>
        <v>22000</v>
      </c>
      <c r="V165" t="s">
        <v>28</v>
      </c>
      <c r="W165" t="str">
        <f>IF(Procurement[[#This Row],[Delivery Days]]&gt;0,"Late",IF(Procurement[[#This Row],[Delivery Days]]=0,"On Time","Early"))</f>
        <v>Late</v>
      </c>
      <c r="X165" t="str">
        <f>IF(Procurement[[#This Row],[ Warranty Period (Months) ]]&lt;24,"Short",IF(Procurement[[#This Row],[ Warranty Period (Months) ]]&lt;36,"Medium","Long"))</f>
        <v>Long</v>
      </c>
    </row>
    <row r="166" spans="1:24" x14ac:dyDescent="0.3">
      <c r="A166" s="2">
        <v>165</v>
      </c>
      <c r="B166" t="s">
        <v>505</v>
      </c>
      <c r="C166" t="s">
        <v>463</v>
      </c>
      <c r="D166" t="s">
        <v>464</v>
      </c>
      <c r="E166" t="s">
        <v>231</v>
      </c>
      <c r="F166" t="s">
        <v>488</v>
      </c>
      <c r="G166" s="2">
        <v>1</v>
      </c>
      <c r="H166" s="3">
        <v>50000</v>
      </c>
      <c r="I166" t="s">
        <v>335</v>
      </c>
      <c r="J166" t="s">
        <v>44</v>
      </c>
      <c r="K166" s="2">
        <v>3322114455</v>
      </c>
      <c r="L166" t="s">
        <v>470</v>
      </c>
      <c r="M166" t="s">
        <v>46</v>
      </c>
      <c r="N166" s="4">
        <v>45356</v>
      </c>
      <c r="O166" s="4">
        <v>45379</v>
      </c>
      <c r="P166">
        <f>Procurement[[#This Row],[ Date Delivered ]]-Procurement[[#This Row],[ Date Ordered ]]</f>
        <v>23</v>
      </c>
      <c r="Q166" s="2">
        <v>36</v>
      </c>
      <c r="R166" s="3">
        <v>1800</v>
      </c>
      <c r="S166" s="3">
        <v>1000</v>
      </c>
      <c r="T166" s="3">
        <f>Procurement[[#This Row],[ Quantity ]]*Procurement[[#This Row],[ Unit Price (USD) ]]</f>
        <v>50000</v>
      </c>
      <c r="U166" s="3">
        <f>Procurement[[#This Row],[Total Procurement Cost]]+Procurement[[#This Row],[ Maintenance Cost (USD/year) ]]+Procurement[[#This Row],[ Installation Cost (USD) ]]</f>
        <v>52800</v>
      </c>
      <c r="V166" t="s">
        <v>47</v>
      </c>
      <c r="W166" t="str">
        <f>IF(Procurement[[#This Row],[Delivery Days]]&gt;0,"Late",IF(Procurement[[#This Row],[Delivery Days]]=0,"On Time","Early"))</f>
        <v>Late</v>
      </c>
      <c r="X166" t="str">
        <f>IF(Procurement[[#This Row],[ Warranty Period (Months) ]]&lt;24,"Short",IF(Procurement[[#This Row],[ Warranty Period (Months) ]]&lt;36,"Medium","Long"))</f>
        <v>Long</v>
      </c>
    </row>
    <row r="167" spans="1:24" x14ac:dyDescent="0.3">
      <c r="A167" s="2">
        <v>166</v>
      </c>
      <c r="B167" t="s">
        <v>485</v>
      </c>
      <c r="C167" t="s">
        <v>486</v>
      </c>
      <c r="D167" t="s">
        <v>487</v>
      </c>
      <c r="E167" t="s">
        <v>238</v>
      </c>
      <c r="F167" t="s">
        <v>528</v>
      </c>
      <c r="G167" s="2">
        <v>8</v>
      </c>
      <c r="H167" s="3">
        <v>200000</v>
      </c>
      <c r="I167" t="s">
        <v>529</v>
      </c>
      <c r="J167" t="s">
        <v>25</v>
      </c>
      <c r="K167" s="2">
        <v>1122334455</v>
      </c>
      <c r="L167" t="s">
        <v>530</v>
      </c>
      <c r="M167" t="s">
        <v>27</v>
      </c>
      <c r="N167" s="4">
        <v>45352</v>
      </c>
      <c r="O167" s="4">
        <v>45381</v>
      </c>
      <c r="P167">
        <f>Procurement[[#This Row],[ Date Delivered ]]-Procurement[[#This Row],[ Date Ordered ]]</f>
        <v>29</v>
      </c>
      <c r="Q167" s="2">
        <v>60</v>
      </c>
      <c r="R167" s="3">
        <v>5000</v>
      </c>
      <c r="S167" s="3">
        <v>3000</v>
      </c>
      <c r="T167" s="3">
        <f>Procurement[[#This Row],[ Quantity ]]*Procurement[[#This Row],[ Unit Price (USD) ]]</f>
        <v>1600000</v>
      </c>
      <c r="U167" s="3">
        <f>Procurement[[#This Row],[Total Procurement Cost]]+Procurement[[#This Row],[ Maintenance Cost (USD/year) ]]+Procurement[[#This Row],[ Installation Cost (USD) ]]</f>
        <v>1608000</v>
      </c>
      <c r="V167" t="s">
        <v>28</v>
      </c>
      <c r="W167" t="str">
        <f>IF(Procurement[[#This Row],[Delivery Days]]&gt;0,"Late",IF(Procurement[[#This Row],[Delivery Days]]=0,"On Time","Early"))</f>
        <v>Late</v>
      </c>
      <c r="X167" t="str">
        <f>IF(Procurement[[#This Row],[ Warranty Period (Months) ]]&lt;24,"Short",IF(Procurement[[#This Row],[ Warranty Period (Months) ]]&lt;36,"Medium","Long"))</f>
        <v>Long</v>
      </c>
    </row>
    <row r="168" spans="1:24" x14ac:dyDescent="0.3">
      <c r="A168" s="2">
        <v>167</v>
      </c>
      <c r="B168" t="s">
        <v>517</v>
      </c>
      <c r="C168" t="s">
        <v>407</v>
      </c>
      <c r="D168" t="s">
        <v>490</v>
      </c>
      <c r="E168" t="s">
        <v>216</v>
      </c>
      <c r="F168" t="s">
        <v>509</v>
      </c>
      <c r="G168" s="2">
        <v>4</v>
      </c>
      <c r="H168" s="3">
        <v>5000</v>
      </c>
      <c r="I168" t="s">
        <v>322</v>
      </c>
      <c r="J168" t="s">
        <v>219</v>
      </c>
      <c r="K168" s="2">
        <v>7755332211</v>
      </c>
      <c r="L168" t="s">
        <v>452</v>
      </c>
      <c r="M168" t="s">
        <v>221</v>
      </c>
      <c r="N168" s="4">
        <v>45342</v>
      </c>
      <c r="O168" s="4">
        <v>45369</v>
      </c>
      <c r="P168">
        <f>Procurement[[#This Row],[ Date Delivered ]]-Procurement[[#This Row],[ Date Ordered ]]</f>
        <v>27</v>
      </c>
      <c r="Q168" s="2">
        <v>24</v>
      </c>
      <c r="R168" s="3">
        <v>800</v>
      </c>
      <c r="S168" s="3">
        <v>500</v>
      </c>
      <c r="T168" s="3">
        <f>Procurement[[#This Row],[ Quantity ]]*Procurement[[#This Row],[ Unit Price (USD) ]]</f>
        <v>20000</v>
      </c>
      <c r="U168" s="3">
        <f>Procurement[[#This Row],[Total Procurement Cost]]+Procurement[[#This Row],[ Maintenance Cost (USD/year) ]]+Procurement[[#This Row],[ Installation Cost (USD) ]]</f>
        <v>21300</v>
      </c>
      <c r="V168" t="s">
        <v>47</v>
      </c>
      <c r="W168" t="str">
        <f>IF(Procurement[[#This Row],[Delivery Days]]&gt;0,"Late",IF(Procurement[[#This Row],[Delivery Days]]=0,"On Time","Early"))</f>
        <v>Late</v>
      </c>
      <c r="X168" t="str">
        <f>IF(Procurement[[#This Row],[ Warranty Period (Months) ]]&lt;24,"Short",IF(Procurement[[#This Row],[ Warranty Period (Months) ]]&lt;36,"Medium","Long"))</f>
        <v>Medium</v>
      </c>
    </row>
    <row r="169" spans="1:24" x14ac:dyDescent="0.3">
      <c r="A169" s="2">
        <v>168</v>
      </c>
      <c r="B169" t="s">
        <v>521</v>
      </c>
      <c r="C169" t="s">
        <v>492</v>
      </c>
      <c r="D169" t="s">
        <v>493</v>
      </c>
      <c r="E169" t="s">
        <v>238</v>
      </c>
      <c r="F169" t="s">
        <v>518</v>
      </c>
      <c r="G169" s="2">
        <v>10</v>
      </c>
      <c r="H169" s="3">
        <v>80000</v>
      </c>
      <c r="I169" t="s">
        <v>519</v>
      </c>
      <c r="J169" t="s">
        <v>54</v>
      </c>
      <c r="K169" s="2">
        <v>7755332211</v>
      </c>
      <c r="L169" t="s">
        <v>520</v>
      </c>
      <c r="M169" t="s">
        <v>75</v>
      </c>
      <c r="N169" s="4">
        <v>45402</v>
      </c>
      <c r="O169" s="4">
        <v>45427</v>
      </c>
      <c r="P169">
        <f>Procurement[[#This Row],[ Date Delivered ]]-Procurement[[#This Row],[ Date Ordered ]]</f>
        <v>25</v>
      </c>
      <c r="Q169" s="2">
        <v>60</v>
      </c>
      <c r="R169" s="3">
        <v>3000</v>
      </c>
      <c r="S169" s="3">
        <v>2000</v>
      </c>
      <c r="T169" s="3">
        <f>Procurement[[#This Row],[ Quantity ]]*Procurement[[#This Row],[ Unit Price (USD) ]]</f>
        <v>800000</v>
      </c>
      <c r="U169" s="3">
        <f>Procurement[[#This Row],[Total Procurement Cost]]+Procurement[[#This Row],[ Maintenance Cost (USD/year) ]]+Procurement[[#This Row],[ Installation Cost (USD) ]]</f>
        <v>805000</v>
      </c>
      <c r="V169" t="s">
        <v>28</v>
      </c>
      <c r="W169" t="str">
        <f>IF(Procurement[[#This Row],[Delivery Days]]&gt;0,"Late",IF(Procurement[[#This Row],[Delivery Days]]=0,"On Time","Early"))</f>
        <v>Late</v>
      </c>
      <c r="X169" t="str">
        <f>IF(Procurement[[#This Row],[ Warranty Period (Months) ]]&lt;24,"Short",IF(Procurement[[#This Row],[ Warranty Period (Months) ]]&lt;36,"Medium","Long"))</f>
        <v>Long</v>
      </c>
    </row>
    <row r="170" spans="1:24" x14ac:dyDescent="0.3">
      <c r="A170" s="2">
        <v>169</v>
      </c>
      <c r="B170" t="s">
        <v>526</v>
      </c>
      <c r="C170" t="s">
        <v>496</v>
      </c>
      <c r="D170" t="s">
        <v>497</v>
      </c>
      <c r="E170" t="s">
        <v>114</v>
      </c>
      <c r="F170" t="s">
        <v>522</v>
      </c>
      <c r="G170" s="2">
        <v>6</v>
      </c>
      <c r="H170" s="3">
        <v>10000</v>
      </c>
      <c r="I170" t="s">
        <v>523</v>
      </c>
      <c r="J170" t="s">
        <v>524</v>
      </c>
      <c r="K170" s="2">
        <v>3322114455</v>
      </c>
      <c r="L170" t="s">
        <v>525</v>
      </c>
      <c r="M170" t="s">
        <v>27</v>
      </c>
      <c r="N170" s="4">
        <v>45366</v>
      </c>
      <c r="O170" s="4">
        <v>45392</v>
      </c>
      <c r="P170">
        <f>Procurement[[#This Row],[ Date Delivered ]]-Procurement[[#This Row],[ Date Ordered ]]</f>
        <v>26</v>
      </c>
      <c r="Q170" s="2">
        <v>36</v>
      </c>
      <c r="R170" s="3">
        <v>1200</v>
      </c>
      <c r="S170" s="3">
        <v>800</v>
      </c>
      <c r="T170" s="3">
        <f>Procurement[[#This Row],[ Quantity ]]*Procurement[[#This Row],[ Unit Price (USD) ]]</f>
        <v>60000</v>
      </c>
      <c r="U170" s="3">
        <f>Procurement[[#This Row],[Total Procurement Cost]]+Procurement[[#This Row],[ Maintenance Cost (USD/year) ]]+Procurement[[#This Row],[ Installation Cost (USD) ]]</f>
        <v>62000</v>
      </c>
      <c r="V170" t="s">
        <v>28</v>
      </c>
      <c r="W170" t="str">
        <f>IF(Procurement[[#This Row],[Delivery Days]]&gt;0,"Late",IF(Procurement[[#This Row],[Delivery Days]]=0,"On Time","Early"))</f>
        <v>Late</v>
      </c>
      <c r="X170" t="str">
        <f>IF(Procurement[[#This Row],[ Warranty Period (Months) ]]&lt;24,"Short",IF(Procurement[[#This Row],[ Warranty Period (Months) ]]&lt;36,"Medium","Long"))</f>
        <v>Long</v>
      </c>
    </row>
    <row r="171" spans="1:24" x14ac:dyDescent="0.3">
      <c r="A171" s="2">
        <v>170</v>
      </c>
      <c r="B171" t="s">
        <v>527</v>
      </c>
      <c r="C171" t="s">
        <v>445</v>
      </c>
      <c r="D171" t="s">
        <v>511</v>
      </c>
      <c r="E171" t="s">
        <v>216</v>
      </c>
      <c r="F171" t="s">
        <v>398</v>
      </c>
      <c r="G171" s="2">
        <v>9</v>
      </c>
      <c r="H171" s="3">
        <v>8000</v>
      </c>
      <c r="I171" t="s">
        <v>322</v>
      </c>
      <c r="J171" t="s">
        <v>219</v>
      </c>
      <c r="K171" s="2">
        <v>7755332211</v>
      </c>
      <c r="L171" t="s">
        <v>452</v>
      </c>
      <c r="M171" t="s">
        <v>221</v>
      </c>
      <c r="N171" s="4">
        <v>45342</v>
      </c>
      <c r="O171" s="4">
        <v>45369</v>
      </c>
      <c r="P171">
        <f>Procurement[[#This Row],[ Date Delivered ]]-Procurement[[#This Row],[ Date Ordered ]]</f>
        <v>27</v>
      </c>
      <c r="Q171" s="2">
        <v>24</v>
      </c>
      <c r="R171" s="3">
        <v>1000</v>
      </c>
      <c r="S171" s="3">
        <v>500</v>
      </c>
      <c r="T171" s="3">
        <f>Procurement[[#This Row],[ Quantity ]]*Procurement[[#This Row],[ Unit Price (USD) ]]</f>
        <v>72000</v>
      </c>
      <c r="U171" s="3">
        <f>Procurement[[#This Row],[Total Procurement Cost]]+Procurement[[#This Row],[ Maintenance Cost (USD/year) ]]+Procurement[[#This Row],[ Installation Cost (USD) ]]</f>
        <v>73500</v>
      </c>
      <c r="V171" t="s">
        <v>47</v>
      </c>
      <c r="W171" t="str">
        <f>IF(Procurement[[#This Row],[Delivery Days]]&gt;0,"Late",IF(Procurement[[#This Row],[Delivery Days]]=0,"On Time","Early"))</f>
        <v>Late</v>
      </c>
      <c r="X171" t="str">
        <f>IF(Procurement[[#This Row],[ Warranty Period (Months) ]]&lt;24,"Short",IF(Procurement[[#This Row],[ Warranty Period (Months) ]]&lt;36,"Medium","Long"))</f>
        <v>Medium</v>
      </c>
    </row>
    <row r="172" spans="1:24" x14ac:dyDescent="0.3">
      <c r="A172" s="2">
        <v>171</v>
      </c>
      <c r="B172" t="s">
        <v>499</v>
      </c>
      <c r="C172" t="s">
        <v>500</v>
      </c>
      <c r="D172" t="s">
        <v>501</v>
      </c>
      <c r="E172" t="s">
        <v>114</v>
      </c>
      <c r="F172" t="s">
        <v>477</v>
      </c>
      <c r="G172" s="2">
        <v>3</v>
      </c>
      <c r="H172" s="3">
        <v>40000</v>
      </c>
      <c r="I172" t="s">
        <v>272</v>
      </c>
      <c r="J172" t="s">
        <v>54</v>
      </c>
      <c r="K172" s="2">
        <v>7755332211</v>
      </c>
      <c r="L172" t="s">
        <v>478</v>
      </c>
      <c r="M172" t="s">
        <v>56</v>
      </c>
      <c r="N172" s="4">
        <v>45311</v>
      </c>
      <c r="O172" s="4">
        <v>45337</v>
      </c>
      <c r="P172">
        <f>Procurement[[#This Row],[ Date Delivered ]]-Procurement[[#This Row],[ Date Ordered ]]</f>
        <v>26</v>
      </c>
      <c r="Q172" s="2">
        <v>48</v>
      </c>
      <c r="R172" s="3">
        <v>2000</v>
      </c>
      <c r="S172" s="3">
        <v>1200</v>
      </c>
      <c r="T172" s="3">
        <f>Procurement[[#This Row],[ Quantity ]]*Procurement[[#This Row],[ Unit Price (USD) ]]</f>
        <v>120000</v>
      </c>
      <c r="U172" s="3">
        <f>Procurement[[#This Row],[Total Procurement Cost]]+Procurement[[#This Row],[ Maintenance Cost (USD/year) ]]+Procurement[[#This Row],[ Installation Cost (USD) ]]</f>
        <v>123200</v>
      </c>
      <c r="V172" t="s">
        <v>28</v>
      </c>
      <c r="W172" t="str">
        <f>IF(Procurement[[#This Row],[Delivery Days]]&gt;0,"Late",IF(Procurement[[#This Row],[Delivery Days]]=0,"On Time","Early"))</f>
        <v>Late</v>
      </c>
      <c r="X172" t="str">
        <f>IF(Procurement[[#This Row],[ Warranty Period (Months) ]]&lt;24,"Short",IF(Procurement[[#This Row],[ Warranty Period (Months) ]]&lt;36,"Medium","Long"))</f>
        <v>Long</v>
      </c>
    </row>
    <row r="173" spans="1:24" x14ac:dyDescent="0.3">
      <c r="A173" s="2">
        <v>172</v>
      </c>
      <c r="B173" t="s">
        <v>502</v>
      </c>
      <c r="C173" t="s">
        <v>449</v>
      </c>
      <c r="D173" t="s">
        <v>450</v>
      </c>
      <c r="E173" t="s">
        <v>216</v>
      </c>
      <c r="F173" t="s">
        <v>494</v>
      </c>
      <c r="G173" s="2">
        <v>4</v>
      </c>
      <c r="H173" s="3">
        <v>5000</v>
      </c>
      <c r="I173" t="s">
        <v>322</v>
      </c>
      <c r="J173" t="s">
        <v>219</v>
      </c>
      <c r="K173" s="2">
        <v>7755332211</v>
      </c>
      <c r="L173" t="s">
        <v>452</v>
      </c>
      <c r="M173" t="s">
        <v>221</v>
      </c>
      <c r="N173" s="4">
        <v>45301</v>
      </c>
      <c r="O173" s="4">
        <v>45327</v>
      </c>
      <c r="P173">
        <f>Procurement[[#This Row],[ Date Delivered ]]-Procurement[[#This Row],[ Date Ordered ]]</f>
        <v>26</v>
      </c>
      <c r="Q173" s="2">
        <v>24</v>
      </c>
      <c r="R173" s="3">
        <v>800</v>
      </c>
      <c r="S173" s="3">
        <v>500</v>
      </c>
      <c r="T173" s="3">
        <f>Procurement[[#This Row],[ Quantity ]]*Procurement[[#This Row],[ Unit Price (USD) ]]</f>
        <v>20000</v>
      </c>
      <c r="U173" s="3">
        <f>Procurement[[#This Row],[Total Procurement Cost]]+Procurement[[#This Row],[ Maintenance Cost (USD/year) ]]+Procurement[[#This Row],[ Installation Cost (USD) ]]</f>
        <v>21300</v>
      </c>
      <c r="V173" t="s">
        <v>47</v>
      </c>
      <c r="W173" t="str">
        <f>IF(Procurement[[#This Row],[Delivery Days]]&gt;0,"Late",IF(Procurement[[#This Row],[Delivery Days]]=0,"On Time","Early"))</f>
        <v>Late</v>
      </c>
      <c r="X173" t="str">
        <f>IF(Procurement[[#This Row],[ Warranty Period (Months) ]]&lt;24,"Short",IF(Procurement[[#This Row],[ Warranty Period (Months) ]]&lt;36,"Medium","Long"))</f>
        <v>Medium</v>
      </c>
    </row>
    <row r="174" spans="1:24" x14ac:dyDescent="0.3">
      <c r="A174" s="2">
        <v>173</v>
      </c>
      <c r="B174" t="s">
        <v>503</v>
      </c>
      <c r="C174" t="s">
        <v>454</v>
      </c>
      <c r="D174" t="s">
        <v>455</v>
      </c>
      <c r="E174" t="s">
        <v>238</v>
      </c>
      <c r="F174" t="s">
        <v>400</v>
      </c>
      <c r="G174" s="2">
        <v>2</v>
      </c>
      <c r="H174" s="3">
        <v>30000</v>
      </c>
      <c r="I174" t="s">
        <v>401</v>
      </c>
      <c r="J174" t="s">
        <v>91</v>
      </c>
      <c r="K174" s="2">
        <v>6677889900</v>
      </c>
      <c r="L174" t="s">
        <v>474</v>
      </c>
      <c r="M174" t="s">
        <v>93</v>
      </c>
      <c r="N174" s="4">
        <v>45350</v>
      </c>
      <c r="O174" s="4">
        <v>45376</v>
      </c>
      <c r="P174">
        <f>Procurement[[#This Row],[ Date Delivered ]]-Procurement[[#This Row],[ Date Ordered ]]</f>
        <v>26</v>
      </c>
      <c r="Q174" s="2">
        <v>36</v>
      </c>
      <c r="R174" s="3">
        <v>1500</v>
      </c>
      <c r="S174" s="3">
        <v>800</v>
      </c>
      <c r="T174" s="3">
        <f>Procurement[[#This Row],[ Quantity ]]*Procurement[[#This Row],[ Unit Price (USD) ]]</f>
        <v>60000</v>
      </c>
      <c r="U174" s="3">
        <f>Procurement[[#This Row],[Total Procurement Cost]]+Procurement[[#This Row],[ Maintenance Cost (USD/year) ]]+Procurement[[#This Row],[ Installation Cost (USD) ]]</f>
        <v>62300</v>
      </c>
      <c r="V174" t="s">
        <v>57</v>
      </c>
      <c r="W174" t="str">
        <f>IF(Procurement[[#This Row],[Delivery Days]]&gt;0,"Late",IF(Procurement[[#This Row],[Delivery Days]]=0,"On Time","Early"))</f>
        <v>Late</v>
      </c>
      <c r="X174" t="str">
        <f>IF(Procurement[[#This Row],[ Warranty Period (Months) ]]&lt;24,"Short",IF(Procurement[[#This Row],[ Warranty Period (Months) ]]&lt;36,"Medium","Long"))</f>
        <v>Long</v>
      </c>
    </row>
    <row r="175" spans="1:24" x14ac:dyDescent="0.3">
      <c r="A175" s="2">
        <v>174</v>
      </c>
      <c r="B175" t="s">
        <v>504</v>
      </c>
      <c r="C175" t="s">
        <v>458</v>
      </c>
      <c r="D175" t="s">
        <v>459</v>
      </c>
      <c r="E175" t="s">
        <v>231</v>
      </c>
      <c r="F175" t="s">
        <v>379</v>
      </c>
      <c r="G175" s="2">
        <v>7</v>
      </c>
      <c r="H175" s="3">
        <v>20000</v>
      </c>
      <c r="I175" t="s">
        <v>380</v>
      </c>
      <c r="J175" t="s">
        <v>44</v>
      </c>
      <c r="K175" s="2">
        <v>3322114455</v>
      </c>
      <c r="L175" t="s">
        <v>466</v>
      </c>
      <c r="M175" t="s">
        <v>46</v>
      </c>
      <c r="N175" s="4">
        <v>45384</v>
      </c>
      <c r="O175" s="4">
        <v>45407</v>
      </c>
      <c r="P175">
        <f>Procurement[[#This Row],[ Date Delivered ]]-Procurement[[#This Row],[ Date Ordered ]]</f>
        <v>23</v>
      </c>
      <c r="Q175" s="2">
        <v>36</v>
      </c>
      <c r="R175" s="3">
        <v>2500</v>
      </c>
      <c r="S175" s="3">
        <v>1500</v>
      </c>
      <c r="T175" s="3">
        <f>Procurement[[#This Row],[ Quantity ]]*Procurement[[#This Row],[ Unit Price (USD) ]]</f>
        <v>140000</v>
      </c>
      <c r="U175" s="3">
        <f>Procurement[[#This Row],[Total Procurement Cost]]+Procurement[[#This Row],[ Maintenance Cost (USD/year) ]]+Procurement[[#This Row],[ Installation Cost (USD) ]]</f>
        <v>144000</v>
      </c>
      <c r="V175" t="s">
        <v>28</v>
      </c>
      <c r="W175" t="str">
        <f>IF(Procurement[[#This Row],[Delivery Days]]&gt;0,"Late",IF(Procurement[[#This Row],[Delivery Days]]=0,"On Time","Early"))</f>
        <v>Late</v>
      </c>
      <c r="X175" t="str">
        <f>IF(Procurement[[#This Row],[ Warranty Period (Months) ]]&lt;24,"Short",IF(Procurement[[#This Row],[ Warranty Period (Months) ]]&lt;36,"Medium","Long"))</f>
        <v>Long</v>
      </c>
    </row>
    <row r="176" spans="1:24" x14ac:dyDescent="0.3">
      <c r="A176" s="2">
        <v>175</v>
      </c>
      <c r="B176" t="s">
        <v>505</v>
      </c>
      <c r="C176" t="s">
        <v>463</v>
      </c>
      <c r="D176" t="s">
        <v>464</v>
      </c>
      <c r="E176" t="s">
        <v>238</v>
      </c>
      <c r="F176" t="s">
        <v>528</v>
      </c>
      <c r="G176" s="2">
        <v>1</v>
      </c>
      <c r="H176" s="3">
        <v>200000</v>
      </c>
      <c r="I176" t="s">
        <v>529</v>
      </c>
      <c r="J176" t="s">
        <v>25</v>
      </c>
      <c r="K176" s="2">
        <v>1122334455</v>
      </c>
      <c r="L176" t="s">
        <v>530</v>
      </c>
      <c r="M176" t="s">
        <v>27</v>
      </c>
      <c r="N176" s="4">
        <v>45352</v>
      </c>
      <c r="O176" s="4">
        <v>45381</v>
      </c>
      <c r="P176">
        <f>Procurement[[#This Row],[ Date Delivered ]]-Procurement[[#This Row],[ Date Ordered ]]</f>
        <v>29</v>
      </c>
      <c r="Q176" s="2">
        <v>60</v>
      </c>
      <c r="R176" s="3">
        <v>5000</v>
      </c>
      <c r="S176" s="3">
        <v>3000</v>
      </c>
      <c r="T176" s="3">
        <f>Procurement[[#This Row],[ Quantity ]]*Procurement[[#This Row],[ Unit Price (USD) ]]</f>
        <v>200000</v>
      </c>
      <c r="U176" s="3">
        <f>Procurement[[#This Row],[Total Procurement Cost]]+Procurement[[#This Row],[ Maintenance Cost (USD/year) ]]+Procurement[[#This Row],[ Installation Cost (USD) ]]</f>
        <v>208000</v>
      </c>
      <c r="V176" t="s">
        <v>28</v>
      </c>
      <c r="W176" t="str">
        <f>IF(Procurement[[#This Row],[Delivery Days]]&gt;0,"Late",IF(Procurement[[#This Row],[Delivery Days]]=0,"On Time","Early"))</f>
        <v>Late</v>
      </c>
      <c r="X176" t="str">
        <f>IF(Procurement[[#This Row],[ Warranty Period (Months) ]]&lt;24,"Short",IF(Procurement[[#This Row],[ Warranty Period (Months) ]]&lt;36,"Medium","Long"))</f>
        <v>Long</v>
      </c>
    </row>
    <row r="177" spans="1:24" x14ac:dyDescent="0.3">
      <c r="A177" s="2">
        <v>176</v>
      </c>
      <c r="B177" t="s">
        <v>485</v>
      </c>
      <c r="C177" t="s">
        <v>486</v>
      </c>
      <c r="D177" t="s">
        <v>487</v>
      </c>
      <c r="E177" t="s">
        <v>216</v>
      </c>
      <c r="F177" t="s">
        <v>509</v>
      </c>
      <c r="G177" s="2">
        <v>5</v>
      </c>
      <c r="H177" s="3">
        <v>5000</v>
      </c>
      <c r="I177" t="s">
        <v>322</v>
      </c>
      <c r="J177" t="s">
        <v>219</v>
      </c>
      <c r="K177" s="2">
        <v>7755332211</v>
      </c>
      <c r="L177" t="s">
        <v>452</v>
      </c>
      <c r="M177" t="s">
        <v>221</v>
      </c>
      <c r="N177" s="4">
        <v>45342</v>
      </c>
      <c r="O177" s="4">
        <v>45369</v>
      </c>
      <c r="P177">
        <f>Procurement[[#This Row],[ Date Delivered ]]-Procurement[[#This Row],[ Date Ordered ]]</f>
        <v>27</v>
      </c>
      <c r="Q177" s="2">
        <v>24</v>
      </c>
      <c r="R177" s="3">
        <v>1000</v>
      </c>
      <c r="S177" s="3">
        <v>500</v>
      </c>
      <c r="T177" s="3">
        <f>Procurement[[#This Row],[ Quantity ]]*Procurement[[#This Row],[ Unit Price (USD) ]]</f>
        <v>25000</v>
      </c>
      <c r="U177" s="3">
        <f>Procurement[[#This Row],[Total Procurement Cost]]+Procurement[[#This Row],[ Maintenance Cost (USD/year) ]]+Procurement[[#This Row],[ Installation Cost (USD) ]]</f>
        <v>26500</v>
      </c>
      <c r="V177" t="s">
        <v>47</v>
      </c>
      <c r="W177" t="str">
        <f>IF(Procurement[[#This Row],[Delivery Days]]&gt;0,"Late",IF(Procurement[[#This Row],[Delivery Days]]=0,"On Time","Early"))</f>
        <v>Late</v>
      </c>
      <c r="X177" t="str">
        <f>IF(Procurement[[#This Row],[ Warranty Period (Months) ]]&lt;24,"Short",IF(Procurement[[#This Row],[ Warranty Period (Months) ]]&lt;36,"Medium","Long"))</f>
        <v>Medium</v>
      </c>
    </row>
    <row r="178" spans="1:24" x14ac:dyDescent="0.3">
      <c r="A178" s="2">
        <v>177</v>
      </c>
      <c r="B178" t="s">
        <v>517</v>
      </c>
      <c r="C178" t="s">
        <v>407</v>
      </c>
      <c r="D178" t="s">
        <v>490</v>
      </c>
      <c r="E178" t="s">
        <v>114</v>
      </c>
      <c r="F178" t="s">
        <v>522</v>
      </c>
      <c r="G178" s="2">
        <v>8</v>
      </c>
      <c r="H178" s="3">
        <v>10000</v>
      </c>
      <c r="I178" t="s">
        <v>523</v>
      </c>
      <c r="J178" t="s">
        <v>524</v>
      </c>
      <c r="K178" s="2">
        <v>3322114455</v>
      </c>
      <c r="L178" t="s">
        <v>525</v>
      </c>
      <c r="M178" t="s">
        <v>27</v>
      </c>
      <c r="N178" s="4">
        <v>45366</v>
      </c>
      <c r="O178" s="4">
        <v>45392</v>
      </c>
      <c r="P178">
        <f>Procurement[[#This Row],[ Date Delivered ]]-Procurement[[#This Row],[ Date Ordered ]]</f>
        <v>26</v>
      </c>
      <c r="Q178" s="2">
        <v>36</v>
      </c>
      <c r="R178" s="3">
        <v>1200</v>
      </c>
      <c r="S178" s="3">
        <v>800</v>
      </c>
      <c r="T178" s="3">
        <f>Procurement[[#This Row],[ Quantity ]]*Procurement[[#This Row],[ Unit Price (USD) ]]</f>
        <v>80000</v>
      </c>
      <c r="U178" s="3">
        <f>Procurement[[#This Row],[Total Procurement Cost]]+Procurement[[#This Row],[ Maintenance Cost (USD/year) ]]+Procurement[[#This Row],[ Installation Cost (USD) ]]</f>
        <v>82000</v>
      </c>
      <c r="V178" t="s">
        <v>28</v>
      </c>
      <c r="W178" t="str">
        <f>IF(Procurement[[#This Row],[Delivery Days]]&gt;0,"Late",IF(Procurement[[#This Row],[Delivery Days]]=0,"On Time","Early"))</f>
        <v>Late</v>
      </c>
      <c r="X178" t="str">
        <f>IF(Procurement[[#This Row],[ Warranty Period (Months) ]]&lt;24,"Short",IF(Procurement[[#This Row],[ Warranty Period (Months) ]]&lt;36,"Medium","Long"))</f>
        <v>Long</v>
      </c>
    </row>
    <row r="179" spans="1:24" x14ac:dyDescent="0.3">
      <c r="A179" s="2">
        <v>178</v>
      </c>
      <c r="B179" t="s">
        <v>521</v>
      </c>
      <c r="C179" t="s">
        <v>492</v>
      </c>
      <c r="D179" t="s">
        <v>493</v>
      </c>
      <c r="E179" t="s">
        <v>231</v>
      </c>
      <c r="F179" t="s">
        <v>488</v>
      </c>
      <c r="G179" s="2">
        <v>3</v>
      </c>
      <c r="H179" s="3">
        <v>50000</v>
      </c>
      <c r="I179" t="s">
        <v>335</v>
      </c>
      <c r="J179" t="s">
        <v>44</v>
      </c>
      <c r="K179" s="2">
        <v>3322114455</v>
      </c>
      <c r="L179" t="s">
        <v>470</v>
      </c>
      <c r="M179" t="s">
        <v>46</v>
      </c>
      <c r="N179" s="4">
        <v>45356</v>
      </c>
      <c r="O179" s="4">
        <v>45379</v>
      </c>
      <c r="P179">
        <f>Procurement[[#This Row],[ Date Delivered ]]-Procurement[[#This Row],[ Date Ordered ]]</f>
        <v>23</v>
      </c>
      <c r="Q179" s="2">
        <v>36</v>
      </c>
      <c r="R179" s="3">
        <v>1800</v>
      </c>
      <c r="S179" s="3">
        <v>1000</v>
      </c>
      <c r="T179" s="3">
        <f>Procurement[[#This Row],[ Quantity ]]*Procurement[[#This Row],[ Unit Price (USD) ]]</f>
        <v>150000</v>
      </c>
      <c r="U179" s="3">
        <f>Procurement[[#This Row],[Total Procurement Cost]]+Procurement[[#This Row],[ Maintenance Cost (USD/year) ]]+Procurement[[#This Row],[ Installation Cost (USD) ]]</f>
        <v>152800</v>
      </c>
      <c r="V179" t="s">
        <v>47</v>
      </c>
      <c r="W179" t="str">
        <f>IF(Procurement[[#This Row],[Delivery Days]]&gt;0,"Late",IF(Procurement[[#This Row],[Delivery Days]]=0,"On Time","Early"))</f>
        <v>Late</v>
      </c>
      <c r="X179" t="str">
        <f>IF(Procurement[[#This Row],[ Warranty Period (Months) ]]&lt;24,"Short",IF(Procurement[[#This Row],[ Warranty Period (Months) ]]&lt;36,"Medium","Long"))</f>
        <v>Long</v>
      </c>
    </row>
    <row r="180" spans="1:24" x14ac:dyDescent="0.3">
      <c r="A180" s="2">
        <v>179</v>
      </c>
      <c r="B180" t="s">
        <v>526</v>
      </c>
      <c r="C180" t="s">
        <v>496</v>
      </c>
      <c r="D180" t="s">
        <v>497</v>
      </c>
      <c r="E180" t="s">
        <v>216</v>
      </c>
      <c r="F180" t="s">
        <v>398</v>
      </c>
      <c r="G180" s="2">
        <v>2</v>
      </c>
      <c r="H180" s="3">
        <v>8000</v>
      </c>
      <c r="I180" t="s">
        <v>322</v>
      </c>
      <c r="J180" t="s">
        <v>219</v>
      </c>
      <c r="K180" s="2">
        <v>7755332211</v>
      </c>
      <c r="L180" t="s">
        <v>452</v>
      </c>
      <c r="M180" t="s">
        <v>221</v>
      </c>
      <c r="N180" s="4">
        <v>45342</v>
      </c>
      <c r="O180" s="4">
        <v>45369</v>
      </c>
      <c r="P180">
        <f>Procurement[[#This Row],[ Date Delivered ]]-Procurement[[#This Row],[ Date Ordered ]]</f>
        <v>27</v>
      </c>
      <c r="Q180" s="2">
        <v>24</v>
      </c>
      <c r="R180" s="3">
        <v>1000</v>
      </c>
      <c r="S180" s="3">
        <v>500</v>
      </c>
      <c r="T180" s="3">
        <f>Procurement[[#This Row],[ Quantity ]]*Procurement[[#This Row],[ Unit Price (USD) ]]</f>
        <v>16000</v>
      </c>
      <c r="U180" s="3">
        <f>Procurement[[#This Row],[Total Procurement Cost]]+Procurement[[#This Row],[ Maintenance Cost (USD/year) ]]+Procurement[[#This Row],[ Installation Cost (USD) ]]</f>
        <v>17500</v>
      </c>
      <c r="V180" t="s">
        <v>47</v>
      </c>
      <c r="W180" t="str">
        <f>IF(Procurement[[#This Row],[Delivery Days]]&gt;0,"Late",IF(Procurement[[#This Row],[Delivery Days]]=0,"On Time","Early"))</f>
        <v>Late</v>
      </c>
      <c r="X180" t="str">
        <f>IF(Procurement[[#This Row],[ Warranty Period (Months) ]]&lt;24,"Short",IF(Procurement[[#This Row],[ Warranty Period (Months) ]]&lt;36,"Medium","Long"))</f>
        <v>Medium</v>
      </c>
    </row>
    <row r="181" spans="1:24" x14ac:dyDescent="0.3">
      <c r="A181" s="2">
        <v>180</v>
      </c>
      <c r="B181" t="s">
        <v>527</v>
      </c>
      <c r="C181" t="s">
        <v>445</v>
      </c>
      <c r="D181" t="s">
        <v>511</v>
      </c>
      <c r="E181" t="s">
        <v>238</v>
      </c>
      <c r="F181" t="s">
        <v>498</v>
      </c>
      <c r="G181" s="2">
        <v>6</v>
      </c>
      <c r="H181" s="3">
        <v>40000</v>
      </c>
      <c r="I181" t="s">
        <v>405</v>
      </c>
      <c r="J181" t="s">
        <v>64</v>
      </c>
      <c r="K181" s="2">
        <v>6677889900</v>
      </c>
      <c r="L181" t="s">
        <v>461</v>
      </c>
      <c r="M181" t="s">
        <v>66</v>
      </c>
      <c r="N181" s="4">
        <v>45356</v>
      </c>
      <c r="O181" s="4">
        <v>45379</v>
      </c>
      <c r="P181">
        <f>Procurement[[#This Row],[ Date Delivered ]]-Procurement[[#This Row],[ Date Ordered ]]</f>
        <v>23</v>
      </c>
      <c r="Q181" s="2">
        <v>36</v>
      </c>
      <c r="R181" s="3">
        <v>2000</v>
      </c>
      <c r="S181" s="3">
        <v>1200</v>
      </c>
      <c r="T181" s="3">
        <f>Procurement[[#This Row],[ Quantity ]]*Procurement[[#This Row],[ Unit Price (USD) ]]</f>
        <v>240000</v>
      </c>
      <c r="U181" s="3">
        <f>Procurement[[#This Row],[Total Procurement Cost]]+Procurement[[#This Row],[ Maintenance Cost (USD/year) ]]+Procurement[[#This Row],[ Installation Cost (USD) ]]</f>
        <v>243200</v>
      </c>
      <c r="V181" t="s">
        <v>28</v>
      </c>
      <c r="W181" t="str">
        <f>IF(Procurement[[#This Row],[Delivery Days]]&gt;0,"Late",IF(Procurement[[#This Row],[Delivery Days]]=0,"On Time","Early"))</f>
        <v>Late</v>
      </c>
      <c r="X181" t="str">
        <f>IF(Procurement[[#This Row],[ Warranty Period (Months) ]]&lt;24,"Short",IF(Procurement[[#This Row],[ Warranty Period (Months) ]]&lt;36,"Medium","Long"))</f>
        <v>Long</v>
      </c>
    </row>
    <row r="182" spans="1:24" x14ac:dyDescent="0.3">
      <c r="A182" s="2">
        <v>181</v>
      </c>
      <c r="B182" t="s">
        <v>531</v>
      </c>
      <c r="C182" t="s">
        <v>532</v>
      </c>
      <c r="D182" t="s">
        <v>533</v>
      </c>
      <c r="E182" t="s">
        <v>231</v>
      </c>
      <c r="F182" t="s">
        <v>379</v>
      </c>
      <c r="G182" s="2">
        <v>5</v>
      </c>
      <c r="H182" s="3">
        <v>20000</v>
      </c>
      <c r="I182" t="s">
        <v>380</v>
      </c>
      <c r="J182" t="s">
        <v>44</v>
      </c>
      <c r="K182" s="2">
        <v>3322114455</v>
      </c>
      <c r="L182" t="s">
        <v>466</v>
      </c>
      <c r="M182" t="s">
        <v>46</v>
      </c>
      <c r="N182" s="4">
        <v>45384</v>
      </c>
      <c r="O182" s="4">
        <v>45407</v>
      </c>
      <c r="P182">
        <f>Procurement[[#This Row],[ Date Delivered ]]-Procurement[[#This Row],[ Date Ordered ]]</f>
        <v>23</v>
      </c>
      <c r="Q182" s="2">
        <v>36</v>
      </c>
      <c r="R182" s="3">
        <v>2500</v>
      </c>
      <c r="S182" s="3">
        <v>1500</v>
      </c>
      <c r="T182" s="3">
        <f>Procurement[[#This Row],[ Quantity ]]*Procurement[[#This Row],[ Unit Price (USD) ]]</f>
        <v>100000</v>
      </c>
      <c r="U182" s="3">
        <f>Procurement[[#This Row],[Total Procurement Cost]]+Procurement[[#This Row],[ Maintenance Cost (USD/year) ]]+Procurement[[#This Row],[ Installation Cost (USD) ]]</f>
        <v>104000</v>
      </c>
      <c r="V182" t="s">
        <v>28</v>
      </c>
      <c r="W182" t="str">
        <f>IF(Procurement[[#This Row],[Delivery Days]]&gt;0,"Late",IF(Procurement[[#This Row],[Delivery Days]]=0,"On Time","Early"))</f>
        <v>Late</v>
      </c>
      <c r="X182" t="str">
        <f>IF(Procurement[[#This Row],[ Warranty Period (Months) ]]&lt;24,"Short",IF(Procurement[[#This Row],[ Warranty Period (Months) ]]&lt;36,"Medium","Long"))</f>
        <v>Long</v>
      </c>
    </row>
    <row r="183" spans="1:24" x14ac:dyDescent="0.3">
      <c r="A183" s="2">
        <v>182</v>
      </c>
      <c r="B183" t="s">
        <v>534</v>
      </c>
      <c r="C183" t="s">
        <v>535</v>
      </c>
      <c r="D183" t="s">
        <v>536</v>
      </c>
      <c r="E183" t="s">
        <v>216</v>
      </c>
      <c r="F183" t="s">
        <v>509</v>
      </c>
      <c r="G183" s="2">
        <v>3</v>
      </c>
      <c r="H183" s="3">
        <v>5000</v>
      </c>
      <c r="I183" t="s">
        <v>322</v>
      </c>
      <c r="J183" t="s">
        <v>219</v>
      </c>
      <c r="K183" s="2">
        <v>7755332211</v>
      </c>
      <c r="L183" t="s">
        <v>452</v>
      </c>
      <c r="M183" t="s">
        <v>221</v>
      </c>
      <c r="N183" s="4">
        <v>45366</v>
      </c>
      <c r="O183" s="4">
        <v>45392</v>
      </c>
      <c r="P183">
        <f>Procurement[[#This Row],[ Date Delivered ]]-Procurement[[#This Row],[ Date Ordered ]]</f>
        <v>26</v>
      </c>
      <c r="Q183" s="2">
        <v>24</v>
      </c>
      <c r="R183" s="3">
        <v>800</v>
      </c>
      <c r="S183" s="3">
        <v>500</v>
      </c>
      <c r="T183" s="3">
        <f>Procurement[[#This Row],[ Quantity ]]*Procurement[[#This Row],[ Unit Price (USD) ]]</f>
        <v>15000</v>
      </c>
      <c r="U183" s="3">
        <f>Procurement[[#This Row],[Total Procurement Cost]]+Procurement[[#This Row],[ Maintenance Cost (USD/year) ]]+Procurement[[#This Row],[ Installation Cost (USD) ]]</f>
        <v>16300</v>
      </c>
      <c r="V183" t="s">
        <v>47</v>
      </c>
      <c r="W183" t="str">
        <f>IF(Procurement[[#This Row],[Delivery Days]]&gt;0,"Late",IF(Procurement[[#This Row],[Delivery Days]]=0,"On Time","Early"))</f>
        <v>Late</v>
      </c>
      <c r="X183" t="str">
        <f>IF(Procurement[[#This Row],[ Warranty Period (Months) ]]&lt;24,"Short",IF(Procurement[[#This Row],[ Warranty Period (Months) ]]&lt;36,"Medium","Long"))</f>
        <v>Medium</v>
      </c>
    </row>
    <row r="184" spans="1:24" x14ac:dyDescent="0.3">
      <c r="A184" s="2">
        <v>183</v>
      </c>
      <c r="B184" t="s">
        <v>537</v>
      </c>
      <c r="C184" t="s">
        <v>378</v>
      </c>
      <c r="D184" t="s">
        <v>538</v>
      </c>
      <c r="E184" t="s">
        <v>238</v>
      </c>
      <c r="F184" t="s">
        <v>518</v>
      </c>
      <c r="G184" s="2">
        <v>1</v>
      </c>
      <c r="H184" s="3">
        <v>80000</v>
      </c>
      <c r="I184" t="s">
        <v>519</v>
      </c>
      <c r="J184" t="s">
        <v>54</v>
      </c>
      <c r="K184" s="2">
        <v>7755332211</v>
      </c>
      <c r="L184" t="s">
        <v>520</v>
      </c>
      <c r="M184" t="s">
        <v>75</v>
      </c>
      <c r="N184" s="4">
        <v>45402</v>
      </c>
      <c r="O184" s="4">
        <v>45427</v>
      </c>
      <c r="P184">
        <f>Procurement[[#This Row],[ Date Delivered ]]-Procurement[[#This Row],[ Date Ordered ]]</f>
        <v>25</v>
      </c>
      <c r="Q184" s="2">
        <v>60</v>
      </c>
      <c r="R184" s="3">
        <v>3000</v>
      </c>
      <c r="S184" s="3">
        <v>2000</v>
      </c>
      <c r="T184" s="3">
        <f>Procurement[[#This Row],[ Quantity ]]*Procurement[[#This Row],[ Unit Price (USD) ]]</f>
        <v>80000</v>
      </c>
      <c r="U184" s="3">
        <f>Procurement[[#This Row],[Total Procurement Cost]]+Procurement[[#This Row],[ Maintenance Cost (USD/year) ]]+Procurement[[#This Row],[ Installation Cost (USD) ]]</f>
        <v>85000</v>
      </c>
      <c r="V184" t="s">
        <v>28</v>
      </c>
      <c r="W184" t="str">
        <f>IF(Procurement[[#This Row],[Delivery Days]]&gt;0,"Late",IF(Procurement[[#This Row],[Delivery Days]]=0,"On Time","Early"))</f>
        <v>Late</v>
      </c>
      <c r="X184" t="str">
        <f>IF(Procurement[[#This Row],[ Warranty Period (Months) ]]&lt;24,"Short",IF(Procurement[[#This Row],[ Warranty Period (Months) ]]&lt;36,"Medium","Long"))</f>
        <v>Long</v>
      </c>
    </row>
    <row r="185" spans="1:24" x14ac:dyDescent="0.3">
      <c r="A185" s="2">
        <v>184</v>
      </c>
      <c r="B185" t="s">
        <v>539</v>
      </c>
      <c r="C185" t="s">
        <v>392</v>
      </c>
      <c r="D185" t="s">
        <v>472</v>
      </c>
      <c r="E185" t="s">
        <v>114</v>
      </c>
      <c r="F185" t="s">
        <v>522</v>
      </c>
      <c r="G185" s="2">
        <v>6</v>
      </c>
      <c r="H185" s="3">
        <v>10000</v>
      </c>
      <c r="I185" t="s">
        <v>523</v>
      </c>
      <c r="J185" t="s">
        <v>524</v>
      </c>
      <c r="K185" s="2">
        <v>3322114455</v>
      </c>
      <c r="L185" t="s">
        <v>525</v>
      </c>
      <c r="M185" t="s">
        <v>27</v>
      </c>
      <c r="N185" s="4">
        <v>45366</v>
      </c>
      <c r="O185" s="4">
        <v>45392</v>
      </c>
      <c r="P185">
        <f>Procurement[[#This Row],[ Date Delivered ]]-Procurement[[#This Row],[ Date Ordered ]]</f>
        <v>26</v>
      </c>
      <c r="Q185" s="2">
        <v>36</v>
      </c>
      <c r="R185" s="3">
        <v>1200</v>
      </c>
      <c r="S185" s="3">
        <v>800</v>
      </c>
      <c r="T185" s="3">
        <f>Procurement[[#This Row],[ Quantity ]]*Procurement[[#This Row],[ Unit Price (USD) ]]</f>
        <v>60000</v>
      </c>
      <c r="U185" s="3">
        <f>Procurement[[#This Row],[Total Procurement Cost]]+Procurement[[#This Row],[ Maintenance Cost (USD/year) ]]+Procurement[[#This Row],[ Installation Cost (USD) ]]</f>
        <v>62000</v>
      </c>
      <c r="V185" t="s">
        <v>28</v>
      </c>
      <c r="W185" t="str">
        <f>IF(Procurement[[#This Row],[Delivery Days]]&gt;0,"Late",IF(Procurement[[#This Row],[Delivery Days]]=0,"On Time","Early"))</f>
        <v>Late</v>
      </c>
      <c r="X185" t="str">
        <f>IF(Procurement[[#This Row],[ Warranty Period (Months) ]]&lt;24,"Short",IF(Procurement[[#This Row],[ Warranty Period (Months) ]]&lt;36,"Medium","Long"))</f>
        <v>Long</v>
      </c>
    </row>
    <row r="186" spans="1:24" x14ac:dyDescent="0.3">
      <c r="A186" s="2">
        <v>185</v>
      </c>
      <c r="B186" t="s">
        <v>540</v>
      </c>
      <c r="C186" t="s">
        <v>541</v>
      </c>
      <c r="D186" t="s">
        <v>542</v>
      </c>
      <c r="E186" t="s">
        <v>231</v>
      </c>
      <c r="F186" t="s">
        <v>488</v>
      </c>
      <c r="G186" s="2">
        <v>4</v>
      </c>
      <c r="H186" s="3">
        <v>50000</v>
      </c>
      <c r="I186" t="s">
        <v>335</v>
      </c>
      <c r="J186" t="s">
        <v>44</v>
      </c>
      <c r="K186" s="2">
        <v>3322114455</v>
      </c>
      <c r="L186" t="s">
        <v>470</v>
      </c>
      <c r="M186" t="s">
        <v>46</v>
      </c>
      <c r="N186" s="4">
        <v>45356</v>
      </c>
      <c r="O186" s="4">
        <v>45379</v>
      </c>
      <c r="P186">
        <f>Procurement[[#This Row],[ Date Delivered ]]-Procurement[[#This Row],[ Date Ordered ]]</f>
        <v>23</v>
      </c>
      <c r="Q186" s="2">
        <v>36</v>
      </c>
      <c r="R186" s="3">
        <v>1800</v>
      </c>
      <c r="S186" s="3">
        <v>1000</v>
      </c>
      <c r="T186" s="3">
        <f>Procurement[[#This Row],[ Quantity ]]*Procurement[[#This Row],[ Unit Price (USD) ]]</f>
        <v>200000</v>
      </c>
      <c r="U186" s="3">
        <f>Procurement[[#This Row],[Total Procurement Cost]]+Procurement[[#This Row],[ Maintenance Cost (USD/year) ]]+Procurement[[#This Row],[ Installation Cost (USD) ]]</f>
        <v>202800</v>
      </c>
      <c r="V186" t="s">
        <v>47</v>
      </c>
      <c r="W186" t="str">
        <f>IF(Procurement[[#This Row],[Delivery Days]]&gt;0,"Late",IF(Procurement[[#This Row],[Delivery Days]]=0,"On Time","Early"))</f>
        <v>Late</v>
      </c>
      <c r="X186" t="str">
        <f>IF(Procurement[[#This Row],[ Warranty Period (Months) ]]&lt;24,"Short",IF(Procurement[[#This Row],[ Warranty Period (Months) ]]&lt;36,"Medium","Long"))</f>
        <v>Long</v>
      </c>
    </row>
    <row r="187" spans="1:24" x14ac:dyDescent="0.3">
      <c r="A187" s="2">
        <v>186</v>
      </c>
      <c r="B187" t="s">
        <v>543</v>
      </c>
      <c r="C187" t="s">
        <v>544</v>
      </c>
      <c r="D187" t="s">
        <v>545</v>
      </c>
      <c r="E187" t="s">
        <v>216</v>
      </c>
      <c r="F187" t="s">
        <v>398</v>
      </c>
      <c r="G187" s="2">
        <v>7</v>
      </c>
      <c r="H187" s="3">
        <v>8000</v>
      </c>
      <c r="I187" t="s">
        <v>322</v>
      </c>
      <c r="J187" t="s">
        <v>219</v>
      </c>
      <c r="K187" s="2">
        <v>7755332211</v>
      </c>
      <c r="L187" t="s">
        <v>452</v>
      </c>
      <c r="M187" t="s">
        <v>221</v>
      </c>
      <c r="N187" s="4">
        <v>45342</v>
      </c>
      <c r="O187" s="4">
        <v>45369</v>
      </c>
      <c r="P187">
        <f>Procurement[[#This Row],[ Date Delivered ]]-Procurement[[#This Row],[ Date Ordered ]]</f>
        <v>27</v>
      </c>
      <c r="Q187" s="2">
        <v>24</v>
      </c>
      <c r="R187" s="3">
        <v>1000</v>
      </c>
      <c r="S187" s="3">
        <v>500</v>
      </c>
      <c r="T187" s="3">
        <f>Procurement[[#This Row],[ Quantity ]]*Procurement[[#This Row],[ Unit Price (USD) ]]</f>
        <v>56000</v>
      </c>
      <c r="U187" s="3">
        <f>Procurement[[#This Row],[Total Procurement Cost]]+Procurement[[#This Row],[ Maintenance Cost (USD/year) ]]+Procurement[[#This Row],[ Installation Cost (USD) ]]</f>
        <v>57500</v>
      </c>
      <c r="V187" t="s">
        <v>47</v>
      </c>
      <c r="W187" t="str">
        <f>IF(Procurement[[#This Row],[Delivery Days]]&gt;0,"Late",IF(Procurement[[#This Row],[Delivery Days]]=0,"On Time","Early"))</f>
        <v>Late</v>
      </c>
      <c r="X187" t="str">
        <f>IF(Procurement[[#This Row],[ Warranty Period (Months) ]]&lt;24,"Short",IF(Procurement[[#This Row],[ Warranty Period (Months) ]]&lt;36,"Medium","Long"))</f>
        <v>Medium</v>
      </c>
    </row>
    <row r="188" spans="1:24" x14ac:dyDescent="0.3">
      <c r="A188" s="2">
        <v>187</v>
      </c>
      <c r="B188" t="s">
        <v>546</v>
      </c>
      <c r="C188" t="s">
        <v>547</v>
      </c>
      <c r="D188" t="s">
        <v>548</v>
      </c>
      <c r="E188" t="s">
        <v>238</v>
      </c>
      <c r="F188" t="s">
        <v>528</v>
      </c>
      <c r="G188" s="2">
        <v>2</v>
      </c>
      <c r="H188" s="3">
        <v>200000</v>
      </c>
      <c r="I188" t="s">
        <v>529</v>
      </c>
      <c r="J188" t="s">
        <v>25</v>
      </c>
      <c r="K188" s="2">
        <v>1122334455</v>
      </c>
      <c r="L188" t="s">
        <v>530</v>
      </c>
      <c r="M188" t="s">
        <v>27</v>
      </c>
      <c r="N188" s="4">
        <v>45352</v>
      </c>
      <c r="O188" s="4">
        <v>45381</v>
      </c>
      <c r="P188">
        <f>Procurement[[#This Row],[ Date Delivered ]]-Procurement[[#This Row],[ Date Ordered ]]</f>
        <v>29</v>
      </c>
      <c r="Q188" s="2">
        <v>60</v>
      </c>
      <c r="R188" s="3">
        <v>5000</v>
      </c>
      <c r="S188" s="3">
        <v>3000</v>
      </c>
      <c r="T188" s="3">
        <f>Procurement[[#This Row],[ Quantity ]]*Procurement[[#This Row],[ Unit Price (USD) ]]</f>
        <v>400000</v>
      </c>
      <c r="U188" s="3">
        <f>Procurement[[#This Row],[Total Procurement Cost]]+Procurement[[#This Row],[ Maintenance Cost (USD/year) ]]+Procurement[[#This Row],[ Installation Cost (USD) ]]</f>
        <v>408000</v>
      </c>
      <c r="V188" t="s">
        <v>28</v>
      </c>
      <c r="W188" t="str">
        <f>IF(Procurement[[#This Row],[Delivery Days]]&gt;0,"Late",IF(Procurement[[#This Row],[Delivery Days]]=0,"On Time","Early"))</f>
        <v>Late</v>
      </c>
      <c r="X188" t="str">
        <f>IF(Procurement[[#This Row],[ Warranty Period (Months) ]]&lt;24,"Short",IF(Procurement[[#This Row],[ Warranty Period (Months) ]]&lt;36,"Medium","Long"))</f>
        <v>Long</v>
      </c>
    </row>
    <row r="189" spans="1:24" x14ac:dyDescent="0.3">
      <c r="A189" s="2">
        <v>188</v>
      </c>
      <c r="B189" t="s">
        <v>549</v>
      </c>
      <c r="C189" t="s">
        <v>535</v>
      </c>
      <c r="D189" t="s">
        <v>550</v>
      </c>
      <c r="E189" t="s">
        <v>216</v>
      </c>
      <c r="F189" t="s">
        <v>494</v>
      </c>
      <c r="G189" s="2">
        <v>5</v>
      </c>
      <c r="H189" s="3">
        <v>5000</v>
      </c>
      <c r="I189" t="s">
        <v>322</v>
      </c>
      <c r="J189" t="s">
        <v>219</v>
      </c>
      <c r="K189" s="2">
        <v>7755332211</v>
      </c>
      <c r="L189" t="s">
        <v>452</v>
      </c>
      <c r="M189" t="s">
        <v>221</v>
      </c>
      <c r="N189" s="4">
        <v>45350</v>
      </c>
      <c r="O189" s="4">
        <v>45376</v>
      </c>
      <c r="P189">
        <f>Procurement[[#This Row],[ Date Delivered ]]-Procurement[[#This Row],[ Date Ordered ]]</f>
        <v>26</v>
      </c>
      <c r="Q189" s="2">
        <v>24</v>
      </c>
      <c r="R189" s="3">
        <v>800</v>
      </c>
      <c r="S189" s="3">
        <v>500</v>
      </c>
      <c r="T189" s="3">
        <f>Procurement[[#This Row],[ Quantity ]]*Procurement[[#This Row],[ Unit Price (USD) ]]</f>
        <v>25000</v>
      </c>
      <c r="U189" s="3">
        <f>Procurement[[#This Row],[Total Procurement Cost]]+Procurement[[#This Row],[ Maintenance Cost (USD/year) ]]+Procurement[[#This Row],[ Installation Cost (USD) ]]</f>
        <v>26300</v>
      </c>
      <c r="V189" t="s">
        <v>47</v>
      </c>
      <c r="W189" t="str">
        <f>IF(Procurement[[#This Row],[Delivery Days]]&gt;0,"Late",IF(Procurement[[#This Row],[Delivery Days]]=0,"On Time","Early"))</f>
        <v>Late</v>
      </c>
      <c r="X189" t="str">
        <f>IF(Procurement[[#This Row],[ Warranty Period (Months) ]]&lt;24,"Short",IF(Procurement[[#This Row],[ Warranty Period (Months) ]]&lt;36,"Medium","Long"))</f>
        <v>Medium</v>
      </c>
    </row>
    <row r="190" spans="1:24" x14ac:dyDescent="0.3">
      <c r="A190" s="2">
        <v>189</v>
      </c>
      <c r="B190" t="s">
        <v>551</v>
      </c>
      <c r="C190" t="s">
        <v>399</v>
      </c>
      <c r="D190" t="s">
        <v>552</v>
      </c>
      <c r="E190" t="s">
        <v>114</v>
      </c>
      <c r="F190" t="s">
        <v>477</v>
      </c>
      <c r="G190" s="2">
        <v>3</v>
      </c>
      <c r="H190" s="3">
        <v>40000</v>
      </c>
      <c r="I190" t="s">
        <v>272</v>
      </c>
      <c r="J190" t="s">
        <v>54</v>
      </c>
      <c r="K190" s="2">
        <v>7755332211</v>
      </c>
      <c r="L190" t="s">
        <v>478</v>
      </c>
      <c r="M190" t="s">
        <v>56</v>
      </c>
      <c r="N190" s="4">
        <v>45311</v>
      </c>
      <c r="O190" s="4">
        <v>45337</v>
      </c>
      <c r="P190">
        <f>Procurement[[#This Row],[ Date Delivered ]]-Procurement[[#This Row],[ Date Ordered ]]</f>
        <v>26</v>
      </c>
      <c r="Q190" s="2">
        <v>48</v>
      </c>
      <c r="R190" s="3">
        <v>2000</v>
      </c>
      <c r="S190" s="3">
        <v>1200</v>
      </c>
      <c r="T190" s="3">
        <f>Procurement[[#This Row],[ Quantity ]]*Procurement[[#This Row],[ Unit Price (USD) ]]</f>
        <v>120000</v>
      </c>
      <c r="U190" s="3">
        <f>Procurement[[#This Row],[Total Procurement Cost]]+Procurement[[#This Row],[ Maintenance Cost (USD/year) ]]+Procurement[[#This Row],[ Installation Cost (USD) ]]</f>
        <v>123200</v>
      </c>
      <c r="V190" t="s">
        <v>28</v>
      </c>
      <c r="W190" t="str">
        <f>IF(Procurement[[#This Row],[Delivery Days]]&gt;0,"Late",IF(Procurement[[#This Row],[Delivery Days]]=0,"On Time","Early"))</f>
        <v>Late</v>
      </c>
      <c r="X190" t="str">
        <f>IF(Procurement[[#This Row],[ Warranty Period (Months) ]]&lt;24,"Short",IF(Procurement[[#This Row],[ Warranty Period (Months) ]]&lt;36,"Medium","Long"))</f>
        <v>Long</v>
      </c>
    </row>
    <row r="191" spans="1:24" x14ac:dyDescent="0.3">
      <c r="A191" s="2">
        <v>190</v>
      </c>
      <c r="B191" t="s">
        <v>553</v>
      </c>
      <c r="C191" t="s">
        <v>386</v>
      </c>
      <c r="D191" t="s">
        <v>468</v>
      </c>
      <c r="E191" t="s">
        <v>216</v>
      </c>
      <c r="F191" t="s">
        <v>554</v>
      </c>
      <c r="G191" s="2">
        <v>6</v>
      </c>
      <c r="H191" s="3">
        <v>8000</v>
      </c>
      <c r="I191" t="s">
        <v>322</v>
      </c>
      <c r="J191" t="s">
        <v>219</v>
      </c>
      <c r="K191" s="2">
        <v>7755332211</v>
      </c>
      <c r="L191" t="s">
        <v>452</v>
      </c>
      <c r="M191" t="s">
        <v>221</v>
      </c>
      <c r="N191" s="4">
        <v>45342</v>
      </c>
      <c r="O191" s="4">
        <v>45369</v>
      </c>
      <c r="P191">
        <f>Procurement[[#This Row],[ Date Delivered ]]-Procurement[[#This Row],[ Date Ordered ]]</f>
        <v>27</v>
      </c>
      <c r="Q191" s="2">
        <v>24</v>
      </c>
      <c r="R191" s="3">
        <v>1000</v>
      </c>
      <c r="S191" s="3">
        <v>500</v>
      </c>
      <c r="T191" s="3">
        <f>Procurement[[#This Row],[ Quantity ]]*Procurement[[#This Row],[ Unit Price (USD) ]]</f>
        <v>48000</v>
      </c>
      <c r="U191" s="3">
        <f>Procurement[[#This Row],[Total Procurement Cost]]+Procurement[[#This Row],[ Maintenance Cost (USD/year) ]]+Procurement[[#This Row],[ Installation Cost (USD) ]]</f>
        <v>49500</v>
      </c>
      <c r="V191" t="s">
        <v>47</v>
      </c>
      <c r="W191" t="str">
        <f>IF(Procurement[[#This Row],[Delivery Days]]&gt;0,"Late",IF(Procurement[[#This Row],[Delivery Days]]=0,"On Time","Early"))</f>
        <v>Late</v>
      </c>
      <c r="X191" t="str">
        <f>IF(Procurement[[#This Row],[ Warranty Period (Months) ]]&lt;24,"Short",IF(Procurement[[#This Row],[ Warranty Period (Months) ]]&lt;36,"Medium","Long"))</f>
        <v>Medium</v>
      </c>
    </row>
    <row r="192" spans="1:24" x14ac:dyDescent="0.3">
      <c r="A192" s="2">
        <v>191</v>
      </c>
      <c r="B192" t="s">
        <v>555</v>
      </c>
      <c r="C192" t="s">
        <v>556</v>
      </c>
      <c r="D192" t="s">
        <v>557</v>
      </c>
      <c r="E192" t="s">
        <v>238</v>
      </c>
      <c r="F192" t="s">
        <v>400</v>
      </c>
      <c r="G192" s="2">
        <v>4</v>
      </c>
      <c r="H192" s="3">
        <v>30000</v>
      </c>
      <c r="I192" t="s">
        <v>401</v>
      </c>
      <c r="J192" t="s">
        <v>91</v>
      </c>
      <c r="K192" s="2">
        <v>6677889900</v>
      </c>
      <c r="L192" t="s">
        <v>474</v>
      </c>
      <c r="M192" t="s">
        <v>93</v>
      </c>
      <c r="N192" s="4">
        <v>45332</v>
      </c>
      <c r="O192" s="4">
        <v>45356</v>
      </c>
      <c r="P192">
        <f>Procurement[[#This Row],[ Date Delivered ]]-Procurement[[#This Row],[ Date Ordered ]]</f>
        <v>24</v>
      </c>
      <c r="Q192" s="2">
        <v>36</v>
      </c>
      <c r="R192" s="3">
        <v>1500</v>
      </c>
      <c r="S192" s="3">
        <v>800</v>
      </c>
      <c r="T192" s="3">
        <f>Procurement[[#This Row],[ Quantity ]]*Procurement[[#This Row],[ Unit Price (USD) ]]</f>
        <v>120000</v>
      </c>
      <c r="U192" s="3">
        <f>Procurement[[#This Row],[Total Procurement Cost]]+Procurement[[#This Row],[ Maintenance Cost (USD/year) ]]+Procurement[[#This Row],[ Installation Cost (USD) ]]</f>
        <v>122300</v>
      </c>
      <c r="V192" t="s">
        <v>57</v>
      </c>
      <c r="W192" t="str">
        <f>IF(Procurement[[#This Row],[Delivery Days]]&gt;0,"Late",IF(Procurement[[#This Row],[Delivery Days]]=0,"On Time","Early"))</f>
        <v>Late</v>
      </c>
      <c r="X192" t="str">
        <f>IF(Procurement[[#This Row],[ Warranty Period (Months) ]]&lt;24,"Short",IF(Procurement[[#This Row],[ Warranty Period (Months) ]]&lt;36,"Medium","Long"))</f>
        <v>Long</v>
      </c>
    </row>
    <row r="193" spans="1:24" x14ac:dyDescent="0.3">
      <c r="A193" s="2">
        <v>192</v>
      </c>
      <c r="B193" t="s">
        <v>558</v>
      </c>
      <c r="C193" t="s">
        <v>559</v>
      </c>
      <c r="D193" t="s">
        <v>560</v>
      </c>
      <c r="E193" t="s">
        <v>114</v>
      </c>
      <c r="F193" t="s">
        <v>522</v>
      </c>
      <c r="G193" s="2">
        <v>7</v>
      </c>
      <c r="H193" s="3">
        <v>10000</v>
      </c>
      <c r="I193" t="s">
        <v>523</v>
      </c>
      <c r="J193" t="s">
        <v>524</v>
      </c>
      <c r="K193" s="2">
        <v>3322114455</v>
      </c>
      <c r="L193" t="s">
        <v>525</v>
      </c>
      <c r="M193" t="s">
        <v>27</v>
      </c>
      <c r="N193" s="4">
        <v>45371</v>
      </c>
      <c r="O193" s="4">
        <v>45397</v>
      </c>
      <c r="P193">
        <f>Procurement[[#This Row],[ Date Delivered ]]-Procurement[[#This Row],[ Date Ordered ]]</f>
        <v>26</v>
      </c>
      <c r="Q193" s="2">
        <v>36</v>
      </c>
      <c r="R193" s="3">
        <v>1200</v>
      </c>
      <c r="S193" s="3">
        <v>800</v>
      </c>
      <c r="T193" s="3">
        <f>Procurement[[#This Row],[ Quantity ]]*Procurement[[#This Row],[ Unit Price (USD) ]]</f>
        <v>70000</v>
      </c>
      <c r="U193" s="3">
        <f>Procurement[[#This Row],[Total Procurement Cost]]+Procurement[[#This Row],[ Maintenance Cost (USD/year) ]]+Procurement[[#This Row],[ Installation Cost (USD) ]]</f>
        <v>72000</v>
      </c>
      <c r="V193" t="s">
        <v>28</v>
      </c>
      <c r="W193" t="str">
        <f>IF(Procurement[[#This Row],[Delivery Days]]&gt;0,"Late",IF(Procurement[[#This Row],[Delivery Days]]=0,"On Time","Early"))</f>
        <v>Late</v>
      </c>
      <c r="X193" t="str">
        <f>IF(Procurement[[#This Row],[ Warranty Period (Months) ]]&lt;24,"Short",IF(Procurement[[#This Row],[ Warranty Period (Months) ]]&lt;36,"Medium","Long"))</f>
        <v>Long</v>
      </c>
    </row>
    <row r="194" spans="1:24" x14ac:dyDescent="0.3">
      <c r="A194" s="2">
        <v>193</v>
      </c>
      <c r="B194" t="s">
        <v>561</v>
      </c>
      <c r="C194" t="s">
        <v>388</v>
      </c>
      <c r="D194" t="s">
        <v>562</v>
      </c>
      <c r="E194" t="s">
        <v>216</v>
      </c>
      <c r="F194" t="s">
        <v>509</v>
      </c>
      <c r="G194" s="2">
        <v>2</v>
      </c>
      <c r="H194" s="3">
        <v>5000</v>
      </c>
      <c r="I194" t="s">
        <v>322</v>
      </c>
      <c r="J194" t="s">
        <v>219</v>
      </c>
      <c r="K194" s="2">
        <v>7755332211</v>
      </c>
      <c r="L194" t="s">
        <v>452</v>
      </c>
      <c r="M194" t="s">
        <v>221</v>
      </c>
      <c r="N194" s="4">
        <v>45337</v>
      </c>
      <c r="O194" s="4">
        <v>45361</v>
      </c>
      <c r="P194">
        <f>Procurement[[#This Row],[ Date Delivered ]]-Procurement[[#This Row],[ Date Ordered ]]</f>
        <v>24</v>
      </c>
      <c r="Q194" s="2">
        <v>24</v>
      </c>
      <c r="R194" s="3">
        <v>800</v>
      </c>
      <c r="S194" s="3">
        <v>500</v>
      </c>
      <c r="T194" s="3">
        <f>Procurement[[#This Row],[ Quantity ]]*Procurement[[#This Row],[ Unit Price (USD) ]]</f>
        <v>10000</v>
      </c>
      <c r="U194" s="3">
        <f>Procurement[[#This Row],[Total Procurement Cost]]+Procurement[[#This Row],[ Maintenance Cost (USD/year) ]]+Procurement[[#This Row],[ Installation Cost (USD) ]]</f>
        <v>11300</v>
      </c>
      <c r="V194" t="s">
        <v>47</v>
      </c>
      <c r="W194" t="str">
        <f>IF(Procurement[[#This Row],[Delivery Days]]&gt;0,"Late",IF(Procurement[[#This Row],[Delivery Days]]=0,"On Time","Early"))</f>
        <v>Late</v>
      </c>
      <c r="X194" t="str">
        <f>IF(Procurement[[#This Row],[ Warranty Period (Months) ]]&lt;24,"Short",IF(Procurement[[#This Row],[ Warranty Period (Months) ]]&lt;36,"Medium","Long"))</f>
        <v>Medium</v>
      </c>
    </row>
    <row r="195" spans="1:24" x14ac:dyDescent="0.3">
      <c r="A195" s="2">
        <v>194</v>
      </c>
      <c r="B195" t="s">
        <v>563</v>
      </c>
      <c r="C195" t="s">
        <v>532</v>
      </c>
      <c r="D195" t="s">
        <v>564</v>
      </c>
      <c r="E195" t="s">
        <v>238</v>
      </c>
      <c r="F195" t="s">
        <v>518</v>
      </c>
      <c r="G195" s="2">
        <v>5</v>
      </c>
      <c r="H195" s="3">
        <v>80000</v>
      </c>
      <c r="I195" t="s">
        <v>519</v>
      </c>
      <c r="J195" t="s">
        <v>54</v>
      </c>
      <c r="K195" s="2">
        <v>7755332211</v>
      </c>
      <c r="L195" t="s">
        <v>520</v>
      </c>
      <c r="M195" t="s">
        <v>75</v>
      </c>
      <c r="N195" s="4">
        <v>45356</v>
      </c>
      <c r="O195" s="4">
        <v>45379</v>
      </c>
      <c r="P195">
        <f>Procurement[[#This Row],[ Date Delivered ]]-Procurement[[#This Row],[ Date Ordered ]]</f>
        <v>23</v>
      </c>
      <c r="Q195" s="2">
        <v>60</v>
      </c>
      <c r="R195" s="3">
        <v>3000</v>
      </c>
      <c r="S195" s="3">
        <v>2000</v>
      </c>
      <c r="T195" s="3">
        <f>Procurement[[#This Row],[ Quantity ]]*Procurement[[#This Row],[ Unit Price (USD) ]]</f>
        <v>400000</v>
      </c>
      <c r="U195" s="3">
        <f>Procurement[[#This Row],[Total Procurement Cost]]+Procurement[[#This Row],[ Maintenance Cost (USD/year) ]]+Procurement[[#This Row],[ Installation Cost (USD) ]]</f>
        <v>405000</v>
      </c>
      <c r="V195" t="s">
        <v>28</v>
      </c>
      <c r="W195" t="str">
        <f>IF(Procurement[[#This Row],[Delivery Days]]&gt;0,"Late",IF(Procurement[[#This Row],[Delivery Days]]=0,"On Time","Early"))</f>
        <v>Late</v>
      </c>
      <c r="X195" t="str">
        <f>IF(Procurement[[#This Row],[ Warranty Period (Months) ]]&lt;24,"Short",IF(Procurement[[#This Row],[ Warranty Period (Months) ]]&lt;36,"Medium","Long"))</f>
        <v>Long</v>
      </c>
    </row>
    <row r="196" spans="1:24" x14ac:dyDescent="0.3">
      <c r="A196" s="2">
        <v>195</v>
      </c>
      <c r="B196" t="s">
        <v>565</v>
      </c>
      <c r="C196" t="s">
        <v>566</v>
      </c>
      <c r="D196" t="s">
        <v>567</v>
      </c>
      <c r="E196" t="s">
        <v>231</v>
      </c>
      <c r="F196" t="s">
        <v>488</v>
      </c>
      <c r="G196" s="2">
        <v>3</v>
      </c>
      <c r="H196" s="3">
        <v>50000</v>
      </c>
      <c r="I196" t="s">
        <v>335</v>
      </c>
      <c r="J196" t="s">
        <v>44</v>
      </c>
      <c r="K196" s="2">
        <v>3322114455</v>
      </c>
      <c r="L196" t="s">
        <v>470</v>
      </c>
      <c r="M196" t="s">
        <v>46</v>
      </c>
      <c r="N196" s="4">
        <v>45361</v>
      </c>
      <c r="O196" s="4">
        <v>45387</v>
      </c>
      <c r="P196">
        <f>Procurement[[#This Row],[ Date Delivered ]]-Procurement[[#This Row],[ Date Ordered ]]</f>
        <v>26</v>
      </c>
      <c r="Q196" s="2">
        <v>36</v>
      </c>
      <c r="R196" s="3">
        <v>1800</v>
      </c>
      <c r="S196" s="3">
        <v>1000</v>
      </c>
      <c r="T196" s="3">
        <f>Procurement[[#This Row],[ Quantity ]]*Procurement[[#This Row],[ Unit Price (USD) ]]</f>
        <v>150000</v>
      </c>
      <c r="U196" s="3">
        <f>Procurement[[#This Row],[Total Procurement Cost]]+Procurement[[#This Row],[ Maintenance Cost (USD/year) ]]+Procurement[[#This Row],[ Installation Cost (USD) ]]</f>
        <v>152800</v>
      </c>
      <c r="V196" t="s">
        <v>47</v>
      </c>
      <c r="W196" t="str">
        <f>IF(Procurement[[#This Row],[Delivery Days]]&gt;0,"Late",IF(Procurement[[#This Row],[Delivery Days]]=0,"On Time","Early"))</f>
        <v>Late</v>
      </c>
      <c r="X196" t="str">
        <f>IF(Procurement[[#This Row],[ Warranty Period (Months) ]]&lt;24,"Short",IF(Procurement[[#This Row],[ Warranty Period (Months) ]]&lt;36,"Medium","Long"))</f>
        <v>Long</v>
      </c>
    </row>
    <row r="197" spans="1:24" x14ac:dyDescent="0.3">
      <c r="A197" s="2">
        <v>196</v>
      </c>
      <c r="B197" t="s">
        <v>568</v>
      </c>
      <c r="C197" t="s">
        <v>569</v>
      </c>
      <c r="D197" t="s">
        <v>570</v>
      </c>
      <c r="E197" t="s">
        <v>216</v>
      </c>
      <c r="F197" t="s">
        <v>398</v>
      </c>
      <c r="G197" s="2">
        <v>6</v>
      </c>
      <c r="H197" s="3">
        <v>8000</v>
      </c>
      <c r="I197" t="s">
        <v>322</v>
      </c>
      <c r="J197" t="s">
        <v>219</v>
      </c>
      <c r="K197" s="2">
        <v>7755332211</v>
      </c>
      <c r="L197" t="s">
        <v>452</v>
      </c>
      <c r="M197" t="s">
        <v>221</v>
      </c>
      <c r="N197" s="4">
        <v>45342</v>
      </c>
      <c r="O197" s="4">
        <v>45369</v>
      </c>
      <c r="P197">
        <f>Procurement[[#This Row],[ Date Delivered ]]-Procurement[[#This Row],[ Date Ordered ]]</f>
        <v>27</v>
      </c>
      <c r="Q197" s="2">
        <v>24</v>
      </c>
      <c r="R197" s="3">
        <v>1000</v>
      </c>
      <c r="S197" s="3">
        <v>500</v>
      </c>
      <c r="T197" s="3">
        <f>Procurement[[#This Row],[ Quantity ]]*Procurement[[#This Row],[ Unit Price (USD) ]]</f>
        <v>48000</v>
      </c>
      <c r="U197" s="3">
        <f>Procurement[[#This Row],[Total Procurement Cost]]+Procurement[[#This Row],[ Maintenance Cost (USD/year) ]]+Procurement[[#This Row],[ Installation Cost (USD) ]]</f>
        <v>49500</v>
      </c>
      <c r="V197" t="s">
        <v>47</v>
      </c>
      <c r="W197" t="str">
        <f>IF(Procurement[[#This Row],[Delivery Days]]&gt;0,"Late",IF(Procurement[[#This Row],[Delivery Days]]=0,"On Time","Early"))</f>
        <v>Late</v>
      </c>
      <c r="X197" t="str">
        <f>IF(Procurement[[#This Row],[ Warranty Period (Months) ]]&lt;24,"Short",IF(Procurement[[#This Row],[ Warranty Period (Months) ]]&lt;36,"Medium","Long"))</f>
        <v>Medium</v>
      </c>
    </row>
    <row r="198" spans="1:24" x14ac:dyDescent="0.3">
      <c r="A198" s="2">
        <v>197</v>
      </c>
      <c r="B198" t="s">
        <v>571</v>
      </c>
      <c r="C198" t="s">
        <v>104</v>
      </c>
      <c r="D198" t="s">
        <v>572</v>
      </c>
      <c r="E198" t="s">
        <v>114</v>
      </c>
      <c r="F198" t="s">
        <v>477</v>
      </c>
      <c r="G198" s="2">
        <v>2</v>
      </c>
      <c r="H198" s="3">
        <v>40000</v>
      </c>
      <c r="I198" t="s">
        <v>272</v>
      </c>
      <c r="J198" t="s">
        <v>54</v>
      </c>
      <c r="K198" s="2">
        <v>7755332211</v>
      </c>
      <c r="L198" t="s">
        <v>478</v>
      </c>
      <c r="M198" t="s">
        <v>56</v>
      </c>
      <c r="N198" s="4">
        <v>45311</v>
      </c>
      <c r="O198" s="4">
        <v>45337</v>
      </c>
      <c r="P198">
        <f>Procurement[[#This Row],[ Date Delivered ]]-Procurement[[#This Row],[ Date Ordered ]]</f>
        <v>26</v>
      </c>
      <c r="Q198" s="2">
        <v>48</v>
      </c>
      <c r="R198" s="3">
        <v>2000</v>
      </c>
      <c r="S198" s="3">
        <v>1200</v>
      </c>
      <c r="T198" s="3">
        <f>Procurement[[#This Row],[ Quantity ]]*Procurement[[#This Row],[ Unit Price (USD) ]]</f>
        <v>80000</v>
      </c>
      <c r="U198" s="3">
        <f>Procurement[[#This Row],[Total Procurement Cost]]+Procurement[[#This Row],[ Maintenance Cost (USD/year) ]]+Procurement[[#This Row],[ Installation Cost (USD) ]]</f>
        <v>83200</v>
      </c>
      <c r="V198" t="s">
        <v>28</v>
      </c>
      <c r="W198" t="str">
        <f>IF(Procurement[[#This Row],[Delivery Days]]&gt;0,"Late",IF(Procurement[[#This Row],[Delivery Days]]=0,"On Time","Early"))</f>
        <v>Late</v>
      </c>
      <c r="X198" t="str">
        <f>IF(Procurement[[#This Row],[ Warranty Period (Months) ]]&lt;24,"Short",IF(Procurement[[#This Row],[ Warranty Period (Months) ]]&lt;36,"Medium","Long"))</f>
        <v>Long</v>
      </c>
    </row>
    <row r="199" spans="1:24" x14ac:dyDescent="0.3">
      <c r="A199" s="2">
        <v>198</v>
      </c>
      <c r="B199" t="s">
        <v>573</v>
      </c>
      <c r="C199" t="s">
        <v>386</v>
      </c>
      <c r="D199" t="s">
        <v>574</v>
      </c>
      <c r="E199" t="s">
        <v>238</v>
      </c>
      <c r="F199" t="s">
        <v>528</v>
      </c>
      <c r="G199" s="2">
        <v>1</v>
      </c>
      <c r="H199" s="3">
        <v>200000</v>
      </c>
      <c r="I199" t="s">
        <v>529</v>
      </c>
      <c r="J199" t="s">
        <v>25</v>
      </c>
      <c r="K199" s="2">
        <v>1122334455</v>
      </c>
      <c r="L199" t="s">
        <v>530</v>
      </c>
      <c r="M199" t="s">
        <v>27</v>
      </c>
      <c r="N199" s="4">
        <v>45352</v>
      </c>
      <c r="O199" s="4">
        <v>45381</v>
      </c>
      <c r="P199">
        <f>Procurement[[#This Row],[ Date Delivered ]]-Procurement[[#This Row],[ Date Ordered ]]</f>
        <v>29</v>
      </c>
      <c r="Q199" s="2">
        <v>60</v>
      </c>
      <c r="R199" s="3">
        <v>5000</v>
      </c>
      <c r="S199" s="3">
        <v>3000</v>
      </c>
      <c r="T199" s="3">
        <f>Procurement[[#This Row],[ Quantity ]]*Procurement[[#This Row],[ Unit Price (USD) ]]</f>
        <v>200000</v>
      </c>
      <c r="U199" s="3">
        <f>Procurement[[#This Row],[Total Procurement Cost]]+Procurement[[#This Row],[ Maintenance Cost (USD/year) ]]+Procurement[[#This Row],[ Installation Cost (USD) ]]</f>
        <v>208000</v>
      </c>
      <c r="V199" t="s">
        <v>28</v>
      </c>
      <c r="W199" t="str">
        <f>IF(Procurement[[#This Row],[Delivery Days]]&gt;0,"Late",IF(Procurement[[#This Row],[Delivery Days]]=0,"On Time","Early"))</f>
        <v>Late</v>
      </c>
      <c r="X199" t="str">
        <f>IF(Procurement[[#This Row],[ Warranty Period (Months) ]]&lt;24,"Short",IF(Procurement[[#This Row],[ Warranty Period (Months) ]]&lt;36,"Medium","Long"))</f>
        <v>Long</v>
      </c>
    </row>
    <row r="200" spans="1:24" x14ac:dyDescent="0.3">
      <c r="A200" s="2">
        <v>199</v>
      </c>
      <c r="B200" t="s">
        <v>575</v>
      </c>
      <c r="C200" t="s">
        <v>422</v>
      </c>
      <c r="D200" t="s">
        <v>576</v>
      </c>
      <c r="E200" t="s">
        <v>216</v>
      </c>
      <c r="F200" t="s">
        <v>494</v>
      </c>
      <c r="G200" s="2">
        <v>4</v>
      </c>
      <c r="H200" s="3">
        <v>5000</v>
      </c>
      <c r="I200" t="s">
        <v>322</v>
      </c>
      <c r="J200" t="s">
        <v>219</v>
      </c>
      <c r="K200" s="2">
        <v>7755332211</v>
      </c>
      <c r="L200" t="s">
        <v>452</v>
      </c>
      <c r="M200" t="s">
        <v>221</v>
      </c>
      <c r="N200" s="4">
        <v>45350</v>
      </c>
      <c r="O200" s="4">
        <v>45376</v>
      </c>
      <c r="P200">
        <f>Procurement[[#This Row],[ Date Delivered ]]-Procurement[[#This Row],[ Date Ordered ]]</f>
        <v>26</v>
      </c>
      <c r="Q200" s="2">
        <v>24</v>
      </c>
      <c r="R200" s="3">
        <v>800</v>
      </c>
      <c r="S200" s="3">
        <v>500</v>
      </c>
      <c r="T200" s="3">
        <f>Procurement[[#This Row],[ Quantity ]]*Procurement[[#This Row],[ Unit Price (USD) ]]</f>
        <v>20000</v>
      </c>
      <c r="U200" s="3">
        <f>Procurement[[#This Row],[Total Procurement Cost]]+Procurement[[#This Row],[ Maintenance Cost (USD/year) ]]+Procurement[[#This Row],[ Installation Cost (USD) ]]</f>
        <v>21300</v>
      </c>
      <c r="V200" t="s">
        <v>47</v>
      </c>
      <c r="W200" t="str">
        <f>IF(Procurement[[#This Row],[Delivery Days]]&gt;0,"Late",IF(Procurement[[#This Row],[Delivery Days]]=0,"On Time","Early"))</f>
        <v>Late</v>
      </c>
      <c r="X200" t="str">
        <f>IF(Procurement[[#This Row],[ Warranty Period (Months) ]]&lt;24,"Short",IF(Procurement[[#This Row],[ Warranty Period (Months) ]]&lt;36,"Medium","Long"))</f>
        <v>Medium</v>
      </c>
    </row>
    <row r="201" spans="1:24" x14ac:dyDescent="0.3">
      <c r="A201" s="2">
        <v>200</v>
      </c>
      <c r="B201" t="s">
        <v>577</v>
      </c>
      <c r="C201" t="s">
        <v>382</v>
      </c>
      <c r="D201" t="s">
        <v>578</v>
      </c>
      <c r="E201" t="s">
        <v>114</v>
      </c>
      <c r="F201" t="s">
        <v>522</v>
      </c>
      <c r="G201" s="2">
        <v>8</v>
      </c>
      <c r="H201" s="3">
        <v>10000</v>
      </c>
      <c r="I201" t="s">
        <v>523</v>
      </c>
      <c r="J201" t="s">
        <v>524</v>
      </c>
      <c r="K201" s="2">
        <v>3322114455</v>
      </c>
      <c r="L201" t="s">
        <v>525</v>
      </c>
      <c r="M201" t="s">
        <v>27</v>
      </c>
      <c r="N201" s="4">
        <v>45366</v>
      </c>
      <c r="O201" s="4">
        <v>45392</v>
      </c>
      <c r="P201">
        <f>Procurement[[#This Row],[ Date Delivered ]]-Procurement[[#This Row],[ Date Ordered ]]</f>
        <v>26</v>
      </c>
      <c r="Q201" s="2">
        <v>36</v>
      </c>
      <c r="R201" s="3">
        <v>1200</v>
      </c>
      <c r="S201" s="3">
        <v>800</v>
      </c>
      <c r="T201" s="3">
        <f>Procurement[[#This Row],[ Quantity ]]*Procurement[[#This Row],[ Unit Price (USD) ]]</f>
        <v>80000</v>
      </c>
      <c r="U201" s="3">
        <f>Procurement[[#This Row],[Total Procurement Cost]]+Procurement[[#This Row],[ Maintenance Cost (USD/year) ]]+Procurement[[#This Row],[ Installation Cost (USD) ]]</f>
        <v>82000</v>
      </c>
      <c r="V201" t="s">
        <v>28</v>
      </c>
      <c r="W201" t="str">
        <f>IF(Procurement[[#This Row],[Delivery Days]]&gt;0,"Late",IF(Procurement[[#This Row],[Delivery Days]]=0,"On Time","Early"))</f>
        <v>Late</v>
      </c>
      <c r="X201" t="str">
        <f>IF(Procurement[[#This Row],[ Warranty Period (Months) ]]&lt;24,"Short",IF(Procurement[[#This Row],[ Warranty Period (Months) ]]&lt;36,"Medium","Long"))</f>
        <v>Long</v>
      </c>
    </row>
    <row r="202" spans="1:24" x14ac:dyDescent="0.3">
      <c r="A202" s="2">
        <v>201</v>
      </c>
      <c r="B202" t="s">
        <v>521</v>
      </c>
      <c r="C202" t="s">
        <v>492</v>
      </c>
      <c r="D202" t="s">
        <v>493</v>
      </c>
      <c r="E202" t="s">
        <v>238</v>
      </c>
      <c r="F202" t="s">
        <v>400</v>
      </c>
      <c r="G202" s="2">
        <v>6</v>
      </c>
      <c r="H202" s="3">
        <v>30000</v>
      </c>
      <c r="I202" t="s">
        <v>401</v>
      </c>
      <c r="J202" t="s">
        <v>91</v>
      </c>
      <c r="K202" s="2">
        <v>6677889900</v>
      </c>
      <c r="L202" t="s">
        <v>474</v>
      </c>
      <c r="M202" t="s">
        <v>93</v>
      </c>
      <c r="N202" s="4">
        <v>45350</v>
      </c>
      <c r="O202" s="4">
        <v>45376</v>
      </c>
      <c r="P202">
        <f>Procurement[[#This Row],[ Date Delivered ]]-Procurement[[#This Row],[ Date Ordered ]]</f>
        <v>26</v>
      </c>
      <c r="Q202" s="2">
        <v>36</v>
      </c>
      <c r="R202" s="3">
        <v>1500</v>
      </c>
      <c r="S202" s="3">
        <v>800</v>
      </c>
      <c r="T202" s="3">
        <f>Procurement[[#This Row],[ Quantity ]]*Procurement[[#This Row],[ Unit Price (USD) ]]</f>
        <v>180000</v>
      </c>
      <c r="U202" s="3">
        <f>Procurement[[#This Row],[Total Procurement Cost]]+Procurement[[#This Row],[ Maintenance Cost (USD/year) ]]+Procurement[[#This Row],[ Installation Cost (USD) ]]</f>
        <v>182300</v>
      </c>
      <c r="V202" t="s">
        <v>57</v>
      </c>
      <c r="W202" t="str">
        <f>IF(Procurement[[#This Row],[Delivery Days]]&gt;0,"Late",IF(Procurement[[#This Row],[Delivery Days]]=0,"On Time","Early"))</f>
        <v>Late</v>
      </c>
      <c r="X202" t="str">
        <f>IF(Procurement[[#This Row],[ Warranty Period (Months) ]]&lt;24,"Short",IF(Procurement[[#This Row],[ Warranty Period (Months) ]]&lt;36,"Medium","Long"))</f>
        <v>Long</v>
      </c>
    </row>
    <row r="203" spans="1:24" x14ac:dyDescent="0.3">
      <c r="A203" s="2">
        <v>202</v>
      </c>
      <c r="B203" t="s">
        <v>579</v>
      </c>
      <c r="C203" t="s">
        <v>580</v>
      </c>
      <c r="D203" t="s">
        <v>581</v>
      </c>
      <c r="E203" t="s">
        <v>216</v>
      </c>
      <c r="F203" t="s">
        <v>398</v>
      </c>
      <c r="G203" s="2">
        <v>3</v>
      </c>
      <c r="H203" s="3">
        <v>8000</v>
      </c>
      <c r="I203" t="s">
        <v>322</v>
      </c>
      <c r="J203" t="s">
        <v>219</v>
      </c>
      <c r="K203" s="2">
        <v>7755332211</v>
      </c>
      <c r="L203" t="s">
        <v>452</v>
      </c>
      <c r="M203" t="s">
        <v>221</v>
      </c>
      <c r="N203" s="4">
        <v>45342</v>
      </c>
      <c r="O203" s="4">
        <v>45369</v>
      </c>
      <c r="P203">
        <f>Procurement[[#This Row],[ Date Delivered ]]-Procurement[[#This Row],[ Date Ordered ]]</f>
        <v>27</v>
      </c>
      <c r="Q203" s="2">
        <v>24</v>
      </c>
      <c r="R203" s="3">
        <v>1000</v>
      </c>
      <c r="S203" s="3">
        <v>500</v>
      </c>
      <c r="T203" s="3">
        <f>Procurement[[#This Row],[ Quantity ]]*Procurement[[#This Row],[ Unit Price (USD) ]]</f>
        <v>24000</v>
      </c>
      <c r="U203" s="3">
        <f>Procurement[[#This Row],[Total Procurement Cost]]+Procurement[[#This Row],[ Maintenance Cost (USD/year) ]]+Procurement[[#This Row],[ Installation Cost (USD) ]]</f>
        <v>25500</v>
      </c>
      <c r="V203" t="s">
        <v>47</v>
      </c>
      <c r="W203" t="str">
        <f>IF(Procurement[[#This Row],[Delivery Days]]&gt;0,"Late",IF(Procurement[[#This Row],[Delivery Days]]=0,"On Time","Early"))</f>
        <v>Late</v>
      </c>
      <c r="X203" t="str">
        <f>IF(Procurement[[#This Row],[ Warranty Period (Months) ]]&lt;24,"Short",IF(Procurement[[#This Row],[ Warranty Period (Months) ]]&lt;36,"Medium","Long"))</f>
        <v>Medium</v>
      </c>
    </row>
    <row r="204" spans="1:24" x14ac:dyDescent="0.3">
      <c r="A204" s="2">
        <v>203</v>
      </c>
      <c r="B204" t="s">
        <v>582</v>
      </c>
      <c r="C204" t="s">
        <v>583</v>
      </c>
      <c r="D204" t="s">
        <v>584</v>
      </c>
      <c r="E204" t="s">
        <v>231</v>
      </c>
      <c r="F204" t="s">
        <v>482</v>
      </c>
      <c r="G204" s="2">
        <v>4</v>
      </c>
      <c r="H204" s="3">
        <v>60000</v>
      </c>
      <c r="I204" t="s">
        <v>483</v>
      </c>
      <c r="J204" t="s">
        <v>143</v>
      </c>
      <c r="K204" s="2">
        <v>3322114455</v>
      </c>
      <c r="L204" t="s">
        <v>484</v>
      </c>
      <c r="M204" t="s">
        <v>145</v>
      </c>
      <c r="N204" s="4">
        <v>45392</v>
      </c>
      <c r="O204" s="4">
        <v>45417</v>
      </c>
      <c r="P204">
        <f>Procurement[[#This Row],[ Date Delivered ]]-Procurement[[#This Row],[ Date Ordered ]]</f>
        <v>25</v>
      </c>
      <c r="Q204" s="2">
        <v>48</v>
      </c>
      <c r="R204" s="3">
        <v>2500</v>
      </c>
      <c r="S204" s="3">
        <v>1500</v>
      </c>
      <c r="T204" s="3">
        <f>Procurement[[#This Row],[ Quantity ]]*Procurement[[#This Row],[ Unit Price (USD) ]]</f>
        <v>240000</v>
      </c>
      <c r="U204" s="3">
        <f>Procurement[[#This Row],[Total Procurement Cost]]+Procurement[[#This Row],[ Maintenance Cost (USD/year) ]]+Procurement[[#This Row],[ Installation Cost (USD) ]]</f>
        <v>244000</v>
      </c>
      <c r="V204" t="s">
        <v>28</v>
      </c>
      <c r="W204" t="str">
        <f>IF(Procurement[[#This Row],[Delivery Days]]&gt;0,"Late",IF(Procurement[[#This Row],[Delivery Days]]=0,"On Time","Early"))</f>
        <v>Late</v>
      </c>
      <c r="X204" t="str">
        <f>IF(Procurement[[#This Row],[ Warranty Period (Months) ]]&lt;24,"Short",IF(Procurement[[#This Row],[ Warranty Period (Months) ]]&lt;36,"Medium","Long"))</f>
        <v>Long</v>
      </c>
    </row>
    <row r="205" spans="1:24" x14ac:dyDescent="0.3">
      <c r="A205" s="2">
        <v>204</v>
      </c>
      <c r="B205" t="s">
        <v>585</v>
      </c>
      <c r="C205" t="s">
        <v>397</v>
      </c>
      <c r="D205" t="s">
        <v>476</v>
      </c>
      <c r="E205" t="s">
        <v>114</v>
      </c>
      <c r="F205" t="s">
        <v>522</v>
      </c>
      <c r="G205" s="2">
        <v>5</v>
      </c>
      <c r="H205" s="3">
        <v>10000</v>
      </c>
      <c r="I205" t="s">
        <v>523</v>
      </c>
      <c r="J205" t="s">
        <v>524</v>
      </c>
      <c r="K205" s="2">
        <v>3322114455</v>
      </c>
      <c r="L205" t="s">
        <v>525</v>
      </c>
      <c r="M205" t="s">
        <v>27</v>
      </c>
      <c r="N205" s="4">
        <v>45366</v>
      </c>
      <c r="O205" s="4">
        <v>45392</v>
      </c>
      <c r="P205">
        <f>Procurement[[#This Row],[ Date Delivered ]]-Procurement[[#This Row],[ Date Ordered ]]</f>
        <v>26</v>
      </c>
      <c r="Q205" s="2">
        <v>36</v>
      </c>
      <c r="R205" s="3">
        <v>1200</v>
      </c>
      <c r="S205" s="3">
        <v>800</v>
      </c>
      <c r="T205" s="3">
        <f>Procurement[[#This Row],[ Quantity ]]*Procurement[[#This Row],[ Unit Price (USD) ]]</f>
        <v>50000</v>
      </c>
      <c r="U205" s="3">
        <f>Procurement[[#This Row],[Total Procurement Cost]]+Procurement[[#This Row],[ Maintenance Cost (USD/year) ]]+Procurement[[#This Row],[ Installation Cost (USD) ]]</f>
        <v>52000</v>
      </c>
      <c r="V205" t="s">
        <v>28</v>
      </c>
      <c r="W205" t="str">
        <f>IF(Procurement[[#This Row],[Delivery Days]]&gt;0,"Late",IF(Procurement[[#This Row],[Delivery Days]]=0,"On Time","Early"))</f>
        <v>Late</v>
      </c>
      <c r="X205" t="str">
        <f>IF(Procurement[[#This Row],[ Warranty Period (Months) ]]&lt;24,"Short",IF(Procurement[[#This Row],[ Warranty Period (Months) ]]&lt;36,"Medium","Long"))</f>
        <v>Long</v>
      </c>
    </row>
    <row r="206" spans="1:24" x14ac:dyDescent="0.3">
      <c r="A206" s="2">
        <v>205</v>
      </c>
      <c r="B206" t="s">
        <v>586</v>
      </c>
      <c r="C206" t="s">
        <v>207</v>
      </c>
      <c r="D206" t="s">
        <v>587</v>
      </c>
      <c r="E206" t="s">
        <v>231</v>
      </c>
      <c r="F206" t="s">
        <v>488</v>
      </c>
      <c r="G206" s="2">
        <v>2</v>
      </c>
      <c r="H206" s="3">
        <v>50000</v>
      </c>
      <c r="I206" t="s">
        <v>335</v>
      </c>
      <c r="J206" t="s">
        <v>44</v>
      </c>
      <c r="K206" s="2">
        <v>3322114455</v>
      </c>
      <c r="L206" t="s">
        <v>470</v>
      </c>
      <c r="M206" t="s">
        <v>46</v>
      </c>
      <c r="N206" s="4">
        <v>45356</v>
      </c>
      <c r="O206" s="4">
        <v>45379</v>
      </c>
      <c r="P206">
        <f>Procurement[[#This Row],[ Date Delivered ]]-Procurement[[#This Row],[ Date Ordered ]]</f>
        <v>23</v>
      </c>
      <c r="Q206" s="2">
        <v>36</v>
      </c>
      <c r="R206" s="3">
        <v>1800</v>
      </c>
      <c r="S206" s="3">
        <v>1000</v>
      </c>
      <c r="T206" s="3">
        <f>Procurement[[#This Row],[ Quantity ]]*Procurement[[#This Row],[ Unit Price (USD) ]]</f>
        <v>100000</v>
      </c>
      <c r="U206" s="3">
        <f>Procurement[[#This Row],[Total Procurement Cost]]+Procurement[[#This Row],[ Maintenance Cost (USD/year) ]]+Procurement[[#This Row],[ Installation Cost (USD) ]]</f>
        <v>102800</v>
      </c>
      <c r="V206" t="s">
        <v>47</v>
      </c>
      <c r="W206" t="str">
        <f>IF(Procurement[[#This Row],[Delivery Days]]&gt;0,"Late",IF(Procurement[[#This Row],[Delivery Days]]=0,"On Time","Early"))</f>
        <v>Late</v>
      </c>
      <c r="X206" t="str">
        <f>IF(Procurement[[#This Row],[ Warranty Period (Months) ]]&lt;24,"Short",IF(Procurement[[#This Row],[ Warranty Period (Months) ]]&lt;36,"Medium","Long"))</f>
        <v>Long</v>
      </c>
    </row>
    <row r="207" spans="1:24" x14ac:dyDescent="0.3">
      <c r="A207" s="2">
        <v>206</v>
      </c>
      <c r="B207" t="s">
        <v>588</v>
      </c>
      <c r="C207" t="s">
        <v>589</v>
      </c>
      <c r="D207" t="s">
        <v>590</v>
      </c>
      <c r="E207" t="s">
        <v>238</v>
      </c>
      <c r="F207" t="s">
        <v>518</v>
      </c>
      <c r="G207" s="2">
        <v>8</v>
      </c>
      <c r="H207" s="3">
        <v>80000</v>
      </c>
      <c r="I207" t="s">
        <v>519</v>
      </c>
      <c r="J207" t="s">
        <v>54</v>
      </c>
      <c r="K207" s="2">
        <v>7755332211</v>
      </c>
      <c r="L207" t="s">
        <v>520</v>
      </c>
      <c r="M207" t="s">
        <v>75</v>
      </c>
      <c r="N207" s="4">
        <v>45402</v>
      </c>
      <c r="O207" s="4">
        <v>45427</v>
      </c>
      <c r="P207">
        <f>Procurement[[#This Row],[ Date Delivered ]]-Procurement[[#This Row],[ Date Ordered ]]</f>
        <v>25</v>
      </c>
      <c r="Q207" s="2">
        <v>60</v>
      </c>
      <c r="R207" s="3">
        <v>3000</v>
      </c>
      <c r="S207" s="3">
        <v>2000</v>
      </c>
      <c r="T207" s="3">
        <f>Procurement[[#This Row],[ Quantity ]]*Procurement[[#This Row],[ Unit Price (USD) ]]</f>
        <v>640000</v>
      </c>
      <c r="U207" s="3">
        <f>Procurement[[#This Row],[Total Procurement Cost]]+Procurement[[#This Row],[ Maintenance Cost (USD/year) ]]+Procurement[[#This Row],[ Installation Cost (USD) ]]</f>
        <v>645000</v>
      </c>
      <c r="V207" t="s">
        <v>28</v>
      </c>
      <c r="W207" t="str">
        <f>IF(Procurement[[#This Row],[Delivery Days]]&gt;0,"Late",IF(Procurement[[#This Row],[Delivery Days]]=0,"On Time","Early"))</f>
        <v>Late</v>
      </c>
      <c r="X207" t="str">
        <f>IF(Procurement[[#This Row],[ Warranty Period (Months) ]]&lt;24,"Short",IF(Procurement[[#This Row],[ Warranty Period (Months) ]]&lt;36,"Medium","Long"))</f>
        <v>Long</v>
      </c>
    </row>
    <row r="208" spans="1:24" x14ac:dyDescent="0.3">
      <c r="A208" s="2">
        <v>207</v>
      </c>
      <c r="B208" t="s">
        <v>591</v>
      </c>
      <c r="C208" t="s">
        <v>592</v>
      </c>
      <c r="D208" t="s">
        <v>550</v>
      </c>
      <c r="E208" t="s">
        <v>216</v>
      </c>
      <c r="F208" t="s">
        <v>509</v>
      </c>
      <c r="G208" s="2">
        <v>3</v>
      </c>
      <c r="H208" s="3">
        <v>5000</v>
      </c>
      <c r="I208" t="s">
        <v>322</v>
      </c>
      <c r="J208" t="s">
        <v>219</v>
      </c>
      <c r="K208" s="2">
        <v>7755332211</v>
      </c>
      <c r="L208" t="s">
        <v>452</v>
      </c>
      <c r="M208" t="s">
        <v>221</v>
      </c>
      <c r="N208" s="4">
        <v>45337</v>
      </c>
      <c r="O208" s="4">
        <v>45361</v>
      </c>
      <c r="P208">
        <f>Procurement[[#This Row],[ Date Delivered ]]-Procurement[[#This Row],[ Date Ordered ]]</f>
        <v>24</v>
      </c>
      <c r="Q208" s="2">
        <v>24</v>
      </c>
      <c r="R208" s="3">
        <v>800</v>
      </c>
      <c r="S208" s="3">
        <v>500</v>
      </c>
      <c r="T208" s="3">
        <f>Procurement[[#This Row],[ Quantity ]]*Procurement[[#This Row],[ Unit Price (USD) ]]</f>
        <v>15000</v>
      </c>
      <c r="U208" s="3">
        <f>Procurement[[#This Row],[Total Procurement Cost]]+Procurement[[#This Row],[ Maintenance Cost (USD/year) ]]+Procurement[[#This Row],[ Installation Cost (USD) ]]</f>
        <v>16300</v>
      </c>
      <c r="V208" t="s">
        <v>47</v>
      </c>
      <c r="W208" t="str">
        <f>IF(Procurement[[#This Row],[Delivery Days]]&gt;0,"Late",IF(Procurement[[#This Row],[Delivery Days]]=0,"On Time","Early"))</f>
        <v>Late</v>
      </c>
      <c r="X208" t="str">
        <f>IF(Procurement[[#This Row],[ Warranty Period (Months) ]]&lt;24,"Short",IF(Procurement[[#This Row],[ Warranty Period (Months) ]]&lt;36,"Medium","Long"))</f>
        <v>Medium</v>
      </c>
    </row>
    <row r="209" spans="1:24" x14ac:dyDescent="0.3">
      <c r="A209" s="2">
        <v>208</v>
      </c>
      <c r="B209" t="s">
        <v>565</v>
      </c>
      <c r="C209" t="s">
        <v>593</v>
      </c>
      <c r="D209" t="s">
        <v>567</v>
      </c>
      <c r="E209" t="s">
        <v>238</v>
      </c>
      <c r="F209" t="s">
        <v>400</v>
      </c>
      <c r="G209" s="2">
        <v>6</v>
      </c>
      <c r="H209" s="3">
        <v>30000</v>
      </c>
      <c r="I209" t="s">
        <v>401</v>
      </c>
      <c r="J209" t="s">
        <v>91</v>
      </c>
      <c r="K209" s="2">
        <v>6677889900</v>
      </c>
      <c r="L209" t="s">
        <v>474</v>
      </c>
      <c r="M209" t="s">
        <v>93</v>
      </c>
      <c r="N209" s="4">
        <v>45332</v>
      </c>
      <c r="O209" s="4">
        <v>45356</v>
      </c>
      <c r="P209">
        <f>Procurement[[#This Row],[ Date Delivered ]]-Procurement[[#This Row],[ Date Ordered ]]</f>
        <v>24</v>
      </c>
      <c r="Q209" s="2">
        <v>36</v>
      </c>
      <c r="R209" s="3">
        <v>1500</v>
      </c>
      <c r="S209" s="3">
        <v>800</v>
      </c>
      <c r="T209" s="3">
        <f>Procurement[[#This Row],[ Quantity ]]*Procurement[[#This Row],[ Unit Price (USD) ]]</f>
        <v>180000</v>
      </c>
      <c r="U209" s="3">
        <f>Procurement[[#This Row],[Total Procurement Cost]]+Procurement[[#This Row],[ Maintenance Cost (USD/year) ]]+Procurement[[#This Row],[ Installation Cost (USD) ]]</f>
        <v>182300</v>
      </c>
      <c r="V209" t="s">
        <v>57</v>
      </c>
      <c r="W209" t="str">
        <f>IF(Procurement[[#This Row],[Delivery Days]]&gt;0,"Late",IF(Procurement[[#This Row],[Delivery Days]]=0,"On Time","Early"))</f>
        <v>Late</v>
      </c>
      <c r="X209" t="str">
        <f>IF(Procurement[[#This Row],[ Warranty Period (Months) ]]&lt;24,"Short",IF(Procurement[[#This Row],[ Warranty Period (Months) ]]&lt;36,"Medium","Long"))</f>
        <v>Long</v>
      </c>
    </row>
    <row r="210" spans="1:24" x14ac:dyDescent="0.3">
      <c r="A210" s="2">
        <v>209</v>
      </c>
      <c r="B210" t="s">
        <v>546</v>
      </c>
      <c r="C210" t="s">
        <v>594</v>
      </c>
      <c r="D210" t="s">
        <v>548</v>
      </c>
      <c r="E210" t="s">
        <v>114</v>
      </c>
      <c r="F210" t="s">
        <v>477</v>
      </c>
      <c r="G210" s="2">
        <v>2</v>
      </c>
      <c r="H210" s="3">
        <v>40000</v>
      </c>
      <c r="I210" t="s">
        <v>272</v>
      </c>
      <c r="J210" t="s">
        <v>54</v>
      </c>
      <c r="K210" s="2">
        <v>7755332211</v>
      </c>
      <c r="L210" t="s">
        <v>478</v>
      </c>
      <c r="M210" t="s">
        <v>56</v>
      </c>
      <c r="N210" s="4">
        <v>45311</v>
      </c>
      <c r="O210" s="4">
        <v>45337</v>
      </c>
      <c r="P210">
        <f>Procurement[[#This Row],[ Date Delivered ]]-Procurement[[#This Row],[ Date Ordered ]]</f>
        <v>26</v>
      </c>
      <c r="Q210" s="2">
        <v>48</v>
      </c>
      <c r="R210" s="3">
        <v>2000</v>
      </c>
      <c r="S210" s="3">
        <v>1200</v>
      </c>
      <c r="T210" s="3">
        <f>Procurement[[#This Row],[ Quantity ]]*Procurement[[#This Row],[ Unit Price (USD) ]]</f>
        <v>80000</v>
      </c>
      <c r="U210" s="3">
        <f>Procurement[[#This Row],[Total Procurement Cost]]+Procurement[[#This Row],[ Maintenance Cost (USD/year) ]]+Procurement[[#This Row],[ Installation Cost (USD) ]]</f>
        <v>83200</v>
      </c>
      <c r="V210" t="s">
        <v>28</v>
      </c>
      <c r="W210" t="str">
        <f>IF(Procurement[[#This Row],[Delivery Days]]&gt;0,"Late",IF(Procurement[[#This Row],[Delivery Days]]=0,"On Time","Early"))</f>
        <v>Late</v>
      </c>
      <c r="X210" t="str">
        <f>IF(Procurement[[#This Row],[ Warranty Period (Months) ]]&lt;24,"Short",IF(Procurement[[#This Row],[ Warranty Period (Months) ]]&lt;36,"Medium","Long"))</f>
        <v>Long</v>
      </c>
    </row>
    <row r="211" spans="1:24" x14ac:dyDescent="0.3">
      <c r="A211" s="2">
        <v>210</v>
      </c>
      <c r="B211" t="s">
        <v>595</v>
      </c>
      <c r="C211" t="s">
        <v>583</v>
      </c>
      <c r="D211" t="s">
        <v>596</v>
      </c>
      <c r="E211" t="s">
        <v>216</v>
      </c>
      <c r="F211" t="s">
        <v>494</v>
      </c>
      <c r="G211" s="2">
        <v>4</v>
      </c>
      <c r="H211" s="3">
        <v>5000</v>
      </c>
      <c r="I211" t="s">
        <v>322</v>
      </c>
      <c r="J211" t="s">
        <v>219</v>
      </c>
      <c r="K211" s="2">
        <v>7755332211</v>
      </c>
      <c r="L211" t="s">
        <v>452</v>
      </c>
      <c r="M211" t="s">
        <v>221</v>
      </c>
      <c r="N211" s="4">
        <v>45350</v>
      </c>
      <c r="O211" s="4">
        <v>45376</v>
      </c>
      <c r="P211">
        <f>Procurement[[#This Row],[ Date Delivered ]]-Procurement[[#This Row],[ Date Ordered ]]</f>
        <v>26</v>
      </c>
      <c r="Q211" s="2">
        <v>24</v>
      </c>
      <c r="R211" s="3">
        <v>800</v>
      </c>
      <c r="S211" s="3">
        <v>500</v>
      </c>
      <c r="T211" s="3">
        <f>Procurement[[#This Row],[ Quantity ]]*Procurement[[#This Row],[ Unit Price (USD) ]]</f>
        <v>20000</v>
      </c>
      <c r="U211" s="3">
        <f>Procurement[[#This Row],[Total Procurement Cost]]+Procurement[[#This Row],[ Maintenance Cost (USD/year) ]]+Procurement[[#This Row],[ Installation Cost (USD) ]]</f>
        <v>21300</v>
      </c>
      <c r="V211" t="s">
        <v>47</v>
      </c>
      <c r="W211" t="str">
        <f>IF(Procurement[[#This Row],[Delivery Days]]&gt;0,"Late",IF(Procurement[[#This Row],[Delivery Days]]=0,"On Time","Early"))</f>
        <v>Late</v>
      </c>
      <c r="X211" t="str">
        <f>IF(Procurement[[#This Row],[ Warranty Period (Months) ]]&lt;24,"Short",IF(Procurement[[#This Row],[ Warranty Period (Months) ]]&lt;36,"Medium","Long"))</f>
        <v>Medium</v>
      </c>
    </row>
    <row r="212" spans="1:24" x14ac:dyDescent="0.3">
      <c r="A212" s="2">
        <v>211</v>
      </c>
      <c r="B212" t="s">
        <v>555</v>
      </c>
      <c r="C212" t="s">
        <v>556</v>
      </c>
      <c r="D212" t="s">
        <v>557</v>
      </c>
      <c r="E212" t="s">
        <v>231</v>
      </c>
      <c r="F212" t="s">
        <v>379</v>
      </c>
      <c r="G212" s="2">
        <v>3</v>
      </c>
      <c r="H212" s="3">
        <v>20000</v>
      </c>
      <c r="I212" t="s">
        <v>380</v>
      </c>
      <c r="J212" t="s">
        <v>44</v>
      </c>
      <c r="K212" s="2">
        <v>3322114455</v>
      </c>
      <c r="L212" t="s">
        <v>466</v>
      </c>
      <c r="M212" t="s">
        <v>46</v>
      </c>
      <c r="N212" s="4">
        <v>45384</v>
      </c>
      <c r="O212" s="4">
        <v>45407</v>
      </c>
      <c r="P212">
        <f>Procurement[[#This Row],[ Date Delivered ]]-Procurement[[#This Row],[ Date Ordered ]]</f>
        <v>23</v>
      </c>
      <c r="Q212" s="2">
        <v>36</v>
      </c>
      <c r="R212" s="3">
        <v>2500</v>
      </c>
      <c r="S212" s="3">
        <v>1500</v>
      </c>
      <c r="T212" s="3">
        <f>Procurement[[#This Row],[ Quantity ]]*Procurement[[#This Row],[ Unit Price (USD) ]]</f>
        <v>60000</v>
      </c>
      <c r="U212" s="3">
        <f>Procurement[[#This Row],[Total Procurement Cost]]+Procurement[[#This Row],[ Maintenance Cost (USD/year) ]]+Procurement[[#This Row],[ Installation Cost (USD) ]]</f>
        <v>64000</v>
      </c>
      <c r="V212" t="s">
        <v>28</v>
      </c>
      <c r="W212" t="str">
        <f>IF(Procurement[[#This Row],[Delivery Days]]&gt;0,"Late",IF(Procurement[[#This Row],[Delivery Days]]=0,"On Time","Early"))</f>
        <v>Late</v>
      </c>
      <c r="X212" t="str">
        <f>IF(Procurement[[#This Row],[ Warranty Period (Months) ]]&lt;24,"Short",IF(Procurement[[#This Row],[ Warranty Period (Months) ]]&lt;36,"Medium","Long"))</f>
        <v>Long</v>
      </c>
    </row>
    <row r="213" spans="1:24" x14ac:dyDescent="0.3">
      <c r="A213" s="2">
        <v>212</v>
      </c>
      <c r="B213" t="s">
        <v>579</v>
      </c>
      <c r="C213" t="s">
        <v>580</v>
      </c>
      <c r="D213" t="s">
        <v>581</v>
      </c>
      <c r="E213" t="s">
        <v>238</v>
      </c>
      <c r="F213" t="s">
        <v>528</v>
      </c>
      <c r="G213" s="2">
        <v>2</v>
      </c>
      <c r="H213" s="3">
        <v>200000</v>
      </c>
      <c r="I213" t="s">
        <v>529</v>
      </c>
      <c r="J213" t="s">
        <v>25</v>
      </c>
      <c r="K213" s="2">
        <v>1122334455</v>
      </c>
      <c r="L213" t="s">
        <v>530</v>
      </c>
      <c r="M213" t="s">
        <v>27</v>
      </c>
      <c r="N213" s="4">
        <v>45352</v>
      </c>
      <c r="O213" s="4">
        <v>45381</v>
      </c>
      <c r="P213">
        <f>Procurement[[#This Row],[ Date Delivered ]]-Procurement[[#This Row],[ Date Ordered ]]</f>
        <v>29</v>
      </c>
      <c r="Q213" s="2">
        <v>60</v>
      </c>
      <c r="R213" s="3">
        <v>5000</v>
      </c>
      <c r="S213" s="3">
        <v>3000</v>
      </c>
      <c r="T213" s="3">
        <f>Procurement[[#This Row],[ Quantity ]]*Procurement[[#This Row],[ Unit Price (USD) ]]</f>
        <v>400000</v>
      </c>
      <c r="U213" s="3">
        <f>Procurement[[#This Row],[Total Procurement Cost]]+Procurement[[#This Row],[ Maintenance Cost (USD/year) ]]+Procurement[[#This Row],[ Installation Cost (USD) ]]</f>
        <v>408000</v>
      </c>
      <c r="V213" t="s">
        <v>28</v>
      </c>
      <c r="W213" t="str">
        <f>IF(Procurement[[#This Row],[Delivery Days]]&gt;0,"Late",IF(Procurement[[#This Row],[Delivery Days]]=0,"On Time","Early"))</f>
        <v>Late</v>
      </c>
      <c r="X213" t="str">
        <f>IF(Procurement[[#This Row],[ Warranty Period (Months) ]]&lt;24,"Short",IF(Procurement[[#This Row],[ Warranty Period (Months) ]]&lt;36,"Medium","Long"))</f>
        <v>Long</v>
      </c>
    </row>
    <row r="214" spans="1:24" x14ac:dyDescent="0.3">
      <c r="A214" s="2">
        <v>213</v>
      </c>
      <c r="B214" t="s">
        <v>582</v>
      </c>
      <c r="C214" t="s">
        <v>583</v>
      </c>
      <c r="D214" t="s">
        <v>584</v>
      </c>
      <c r="E214" t="s">
        <v>216</v>
      </c>
      <c r="F214" t="s">
        <v>398</v>
      </c>
      <c r="G214" s="2">
        <v>5</v>
      </c>
      <c r="H214" s="3">
        <v>8000</v>
      </c>
      <c r="I214" t="s">
        <v>322</v>
      </c>
      <c r="J214" t="s">
        <v>219</v>
      </c>
      <c r="K214" s="2">
        <v>7755332211</v>
      </c>
      <c r="L214" t="s">
        <v>452</v>
      </c>
      <c r="M214" t="s">
        <v>221</v>
      </c>
      <c r="N214" s="4">
        <v>45342</v>
      </c>
      <c r="O214" s="4">
        <v>45369</v>
      </c>
      <c r="P214">
        <f>Procurement[[#This Row],[ Date Delivered ]]-Procurement[[#This Row],[ Date Ordered ]]</f>
        <v>27</v>
      </c>
      <c r="Q214" s="2">
        <v>24</v>
      </c>
      <c r="R214" s="3">
        <v>1000</v>
      </c>
      <c r="S214" s="3">
        <v>500</v>
      </c>
      <c r="T214" s="3">
        <f>Procurement[[#This Row],[ Quantity ]]*Procurement[[#This Row],[ Unit Price (USD) ]]</f>
        <v>40000</v>
      </c>
      <c r="U214" s="3">
        <f>Procurement[[#This Row],[Total Procurement Cost]]+Procurement[[#This Row],[ Maintenance Cost (USD/year) ]]+Procurement[[#This Row],[ Installation Cost (USD) ]]</f>
        <v>41500</v>
      </c>
      <c r="V214" t="s">
        <v>47</v>
      </c>
      <c r="W214" t="str">
        <f>IF(Procurement[[#This Row],[Delivery Days]]&gt;0,"Late",IF(Procurement[[#This Row],[Delivery Days]]=0,"On Time","Early"))</f>
        <v>Late</v>
      </c>
      <c r="X214" t="str">
        <f>IF(Procurement[[#This Row],[ Warranty Period (Months) ]]&lt;24,"Short",IF(Procurement[[#This Row],[ Warranty Period (Months) ]]&lt;36,"Medium","Long"))</f>
        <v>Medium</v>
      </c>
    </row>
    <row r="215" spans="1:24" x14ac:dyDescent="0.3">
      <c r="A215" s="2">
        <v>214</v>
      </c>
      <c r="B215" t="s">
        <v>585</v>
      </c>
      <c r="C215" t="s">
        <v>397</v>
      </c>
      <c r="D215" t="s">
        <v>476</v>
      </c>
      <c r="E215" t="s">
        <v>114</v>
      </c>
      <c r="F215" t="s">
        <v>522</v>
      </c>
      <c r="G215" s="2">
        <v>6</v>
      </c>
      <c r="H215" s="3">
        <v>10000</v>
      </c>
      <c r="I215" t="s">
        <v>523</v>
      </c>
      <c r="J215" t="s">
        <v>524</v>
      </c>
      <c r="K215" s="2">
        <v>3322114455</v>
      </c>
      <c r="L215" t="s">
        <v>525</v>
      </c>
      <c r="M215" t="s">
        <v>27</v>
      </c>
      <c r="N215" s="4">
        <v>45366</v>
      </c>
      <c r="O215" s="4">
        <v>45392</v>
      </c>
      <c r="P215">
        <f>Procurement[[#This Row],[ Date Delivered ]]-Procurement[[#This Row],[ Date Ordered ]]</f>
        <v>26</v>
      </c>
      <c r="Q215" s="2">
        <v>36</v>
      </c>
      <c r="R215" s="3">
        <v>1200</v>
      </c>
      <c r="S215" s="3">
        <v>800</v>
      </c>
      <c r="T215" s="3">
        <f>Procurement[[#This Row],[ Quantity ]]*Procurement[[#This Row],[ Unit Price (USD) ]]</f>
        <v>60000</v>
      </c>
      <c r="U215" s="3">
        <f>Procurement[[#This Row],[Total Procurement Cost]]+Procurement[[#This Row],[ Maintenance Cost (USD/year) ]]+Procurement[[#This Row],[ Installation Cost (USD) ]]</f>
        <v>62000</v>
      </c>
      <c r="V215" t="s">
        <v>28</v>
      </c>
      <c r="W215" t="str">
        <f>IF(Procurement[[#This Row],[Delivery Days]]&gt;0,"Late",IF(Procurement[[#This Row],[Delivery Days]]=0,"On Time","Early"))</f>
        <v>Late</v>
      </c>
      <c r="X215" t="str">
        <f>IF(Procurement[[#This Row],[ Warranty Period (Months) ]]&lt;24,"Short",IF(Procurement[[#This Row],[ Warranty Period (Months) ]]&lt;36,"Medium","Long"))</f>
        <v>Long</v>
      </c>
    </row>
    <row r="216" spans="1:24" x14ac:dyDescent="0.3">
      <c r="A216" s="2">
        <v>215</v>
      </c>
      <c r="B216" t="s">
        <v>586</v>
      </c>
      <c r="C216" t="s">
        <v>207</v>
      </c>
      <c r="D216" t="s">
        <v>587</v>
      </c>
      <c r="E216" t="s">
        <v>216</v>
      </c>
      <c r="F216" t="s">
        <v>494</v>
      </c>
      <c r="G216" s="2">
        <v>3</v>
      </c>
      <c r="H216" s="3">
        <v>5000</v>
      </c>
      <c r="I216" t="s">
        <v>322</v>
      </c>
      <c r="J216" t="s">
        <v>219</v>
      </c>
      <c r="K216" s="2">
        <v>7755332211</v>
      </c>
      <c r="L216" t="s">
        <v>452</v>
      </c>
      <c r="M216" t="s">
        <v>221</v>
      </c>
      <c r="N216" s="4">
        <v>45350</v>
      </c>
      <c r="O216" s="4">
        <v>45376</v>
      </c>
      <c r="P216">
        <f>Procurement[[#This Row],[ Date Delivered ]]-Procurement[[#This Row],[ Date Ordered ]]</f>
        <v>26</v>
      </c>
      <c r="Q216" s="2">
        <v>24</v>
      </c>
      <c r="R216" s="3">
        <v>800</v>
      </c>
      <c r="S216" s="3">
        <v>500</v>
      </c>
      <c r="T216" s="3">
        <f>Procurement[[#This Row],[ Quantity ]]*Procurement[[#This Row],[ Unit Price (USD) ]]</f>
        <v>15000</v>
      </c>
      <c r="U216" s="3">
        <f>Procurement[[#This Row],[Total Procurement Cost]]+Procurement[[#This Row],[ Maintenance Cost (USD/year) ]]+Procurement[[#This Row],[ Installation Cost (USD) ]]</f>
        <v>16300</v>
      </c>
      <c r="V216" t="s">
        <v>47</v>
      </c>
      <c r="W216" t="str">
        <f>IF(Procurement[[#This Row],[Delivery Days]]&gt;0,"Late",IF(Procurement[[#This Row],[Delivery Days]]=0,"On Time","Early"))</f>
        <v>Late</v>
      </c>
      <c r="X216" t="str">
        <f>IF(Procurement[[#This Row],[ Warranty Period (Months) ]]&lt;24,"Short",IF(Procurement[[#This Row],[ Warranty Period (Months) ]]&lt;36,"Medium","Long"))</f>
        <v>Medium</v>
      </c>
    </row>
    <row r="217" spans="1:24" x14ac:dyDescent="0.3">
      <c r="A217" s="2">
        <v>216</v>
      </c>
      <c r="B217" t="s">
        <v>588</v>
      </c>
      <c r="C217" t="s">
        <v>589</v>
      </c>
      <c r="D217" t="s">
        <v>590</v>
      </c>
      <c r="E217" t="s">
        <v>231</v>
      </c>
      <c r="F217" t="s">
        <v>488</v>
      </c>
      <c r="G217" s="2">
        <v>4</v>
      </c>
      <c r="H217" s="3">
        <v>50000</v>
      </c>
      <c r="I217" t="s">
        <v>335</v>
      </c>
      <c r="J217" t="s">
        <v>44</v>
      </c>
      <c r="K217" s="2">
        <v>3322114455</v>
      </c>
      <c r="L217" t="s">
        <v>470</v>
      </c>
      <c r="M217" t="s">
        <v>46</v>
      </c>
      <c r="N217" s="4">
        <v>45356</v>
      </c>
      <c r="O217" s="4">
        <v>45379</v>
      </c>
      <c r="P217">
        <f>Procurement[[#This Row],[ Date Delivered ]]-Procurement[[#This Row],[ Date Ordered ]]</f>
        <v>23</v>
      </c>
      <c r="Q217" s="2">
        <v>36</v>
      </c>
      <c r="R217" s="3">
        <v>1800</v>
      </c>
      <c r="S217" s="3">
        <v>1000</v>
      </c>
      <c r="T217" s="3">
        <f>Procurement[[#This Row],[ Quantity ]]*Procurement[[#This Row],[ Unit Price (USD) ]]</f>
        <v>200000</v>
      </c>
      <c r="U217" s="3">
        <f>Procurement[[#This Row],[Total Procurement Cost]]+Procurement[[#This Row],[ Maintenance Cost (USD/year) ]]+Procurement[[#This Row],[ Installation Cost (USD) ]]</f>
        <v>202800</v>
      </c>
      <c r="V217" t="s">
        <v>47</v>
      </c>
      <c r="W217" t="str">
        <f>IF(Procurement[[#This Row],[Delivery Days]]&gt;0,"Late",IF(Procurement[[#This Row],[Delivery Days]]=0,"On Time","Early"))</f>
        <v>Late</v>
      </c>
      <c r="X217" t="str">
        <f>IF(Procurement[[#This Row],[ Warranty Period (Months) ]]&lt;24,"Short",IF(Procurement[[#This Row],[ Warranty Period (Months) ]]&lt;36,"Medium","Long"))</f>
        <v>Long</v>
      </c>
    </row>
    <row r="218" spans="1:24" x14ac:dyDescent="0.3">
      <c r="A218" s="2">
        <v>217</v>
      </c>
      <c r="B218" t="s">
        <v>591</v>
      </c>
      <c r="C218" t="s">
        <v>592</v>
      </c>
      <c r="D218" t="s">
        <v>550</v>
      </c>
      <c r="E218" t="s">
        <v>238</v>
      </c>
      <c r="F218" t="s">
        <v>400</v>
      </c>
      <c r="G218" s="2">
        <v>2</v>
      </c>
      <c r="H218" s="3">
        <v>30000</v>
      </c>
      <c r="I218" t="s">
        <v>401</v>
      </c>
      <c r="J218" t="s">
        <v>91</v>
      </c>
      <c r="K218" s="2">
        <v>6677889900</v>
      </c>
      <c r="L218" t="s">
        <v>474</v>
      </c>
      <c r="M218" t="s">
        <v>93</v>
      </c>
      <c r="N218" s="4">
        <v>45332</v>
      </c>
      <c r="O218" s="4">
        <v>45356</v>
      </c>
      <c r="P218">
        <f>Procurement[[#This Row],[ Date Delivered ]]-Procurement[[#This Row],[ Date Ordered ]]</f>
        <v>24</v>
      </c>
      <c r="Q218" s="2">
        <v>36</v>
      </c>
      <c r="R218" s="3">
        <v>1500</v>
      </c>
      <c r="S218" s="3">
        <v>800</v>
      </c>
      <c r="T218" s="3">
        <f>Procurement[[#This Row],[ Quantity ]]*Procurement[[#This Row],[ Unit Price (USD) ]]</f>
        <v>60000</v>
      </c>
      <c r="U218" s="3">
        <f>Procurement[[#This Row],[Total Procurement Cost]]+Procurement[[#This Row],[ Maintenance Cost (USD/year) ]]+Procurement[[#This Row],[ Installation Cost (USD) ]]</f>
        <v>62300</v>
      </c>
      <c r="V218" t="s">
        <v>57</v>
      </c>
      <c r="W218" t="str">
        <f>IF(Procurement[[#This Row],[Delivery Days]]&gt;0,"Late",IF(Procurement[[#This Row],[Delivery Days]]=0,"On Time","Early"))</f>
        <v>Late</v>
      </c>
      <c r="X218" t="str">
        <f>IF(Procurement[[#This Row],[ Warranty Period (Months) ]]&lt;24,"Short",IF(Procurement[[#This Row],[ Warranty Period (Months) ]]&lt;36,"Medium","Long"))</f>
        <v>Long</v>
      </c>
    </row>
    <row r="219" spans="1:24" x14ac:dyDescent="0.3">
      <c r="A219" s="2">
        <v>218</v>
      </c>
      <c r="B219" t="s">
        <v>565</v>
      </c>
      <c r="C219" t="s">
        <v>593</v>
      </c>
      <c r="D219" t="s">
        <v>567</v>
      </c>
      <c r="E219" t="s">
        <v>114</v>
      </c>
      <c r="F219" t="s">
        <v>477</v>
      </c>
      <c r="G219" s="2">
        <v>5</v>
      </c>
      <c r="H219" s="3">
        <v>40000</v>
      </c>
      <c r="I219" t="s">
        <v>272</v>
      </c>
      <c r="J219" t="s">
        <v>54</v>
      </c>
      <c r="K219" s="2">
        <v>7755332211</v>
      </c>
      <c r="L219" t="s">
        <v>478</v>
      </c>
      <c r="M219" t="s">
        <v>56</v>
      </c>
      <c r="N219" s="4">
        <v>45311</v>
      </c>
      <c r="O219" s="4">
        <v>45337</v>
      </c>
      <c r="P219">
        <f>Procurement[[#This Row],[ Date Delivered ]]-Procurement[[#This Row],[ Date Ordered ]]</f>
        <v>26</v>
      </c>
      <c r="Q219" s="2">
        <v>48</v>
      </c>
      <c r="R219" s="3">
        <v>2000</v>
      </c>
      <c r="S219" s="3">
        <v>1200</v>
      </c>
      <c r="T219" s="3">
        <f>Procurement[[#This Row],[ Quantity ]]*Procurement[[#This Row],[ Unit Price (USD) ]]</f>
        <v>200000</v>
      </c>
      <c r="U219" s="3">
        <f>Procurement[[#This Row],[Total Procurement Cost]]+Procurement[[#This Row],[ Maintenance Cost (USD/year) ]]+Procurement[[#This Row],[ Installation Cost (USD) ]]</f>
        <v>203200</v>
      </c>
      <c r="V219" t="s">
        <v>28</v>
      </c>
      <c r="W219" t="str">
        <f>IF(Procurement[[#This Row],[Delivery Days]]&gt;0,"Late",IF(Procurement[[#This Row],[Delivery Days]]=0,"On Time","Early"))</f>
        <v>Late</v>
      </c>
      <c r="X219" t="str">
        <f>IF(Procurement[[#This Row],[ Warranty Period (Months) ]]&lt;24,"Short",IF(Procurement[[#This Row],[ Warranty Period (Months) ]]&lt;36,"Medium","Long"))</f>
        <v>Long</v>
      </c>
    </row>
    <row r="220" spans="1:24" x14ac:dyDescent="0.3">
      <c r="A220" s="2">
        <v>219</v>
      </c>
      <c r="B220" t="s">
        <v>546</v>
      </c>
      <c r="C220" t="s">
        <v>594</v>
      </c>
      <c r="D220" t="s">
        <v>548</v>
      </c>
      <c r="E220" t="s">
        <v>216</v>
      </c>
      <c r="F220" t="s">
        <v>509</v>
      </c>
      <c r="G220" s="2">
        <v>3</v>
      </c>
      <c r="H220" s="3">
        <v>5000</v>
      </c>
      <c r="I220" t="s">
        <v>322</v>
      </c>
      <c r="J220" t="s">
        <v>219</v>
      </c>
      <c r="K220" s="2">
        <v>7755332211</v>
      </c>
      <c r="L220" t="s">
        <v>452</v>
      </c>
      <c r="M220" t="s">
        <v>221</v>
      </c>
      <c r="N220" s="4">
        <v>45337</v>
      </c>
      <c r="O220" s="4">
        <v>45361</v>
      </c>
      <c r="P220">
        <f>Procurement[[#This Row],[ Date Delivered ]]-Procurement[[#This Row],[ Date Ordered ]]</f>
        <v>24</v>
      </c>
      <c r="Q220" s="2">
        <v>24</v>
      </c>
      <c r="R220" s="3">
        <v>800</v>
      </c>
      <c r="S220" s="3">
        <v>500</v>
      </c>
      <c r="T220" s="3">
        <f>Procurement[[#This Row],[ Quantity ]]*Procurement[[#This Row],[ Unit Price (USD) ]]</f>
        <v>15000</v>
      </c>
      <c r="U220" s="3">
        <f>Procurement[[#This Row],[Total Procurement Cost]]+Procurement[[#This Row],[ Maintenance Cost (USD/year) ]]+Procurement[[#This Row],[ Installation Cost (USD) ]]</f>
        <v>16300</v>
      </c>
      <c r="V220" t="s">
        <v>47</v>
      </c>
      <c r="W220" t="str">
        <f>IF(Procurement[[#This Row],[Delivery Days]]&gt;0,"Late",IF(Procurement[[#This Row],[Delivery Days]]=0,"On Time","Early"))</f>
        <v>Late</v>
      </c>
      <c r="X220" t="str">
        <f>IF(Procurement[[#This Row],[ Warranty Period (Months) ]]&lt;24,"Short",IF(Procurement[[#This Row],[ Warranty Period (Months) ]]&lt;36,"Medium","Long"))</f>
        <v>Medium</v>
      </c>
    </row>
    <row r="221" spans="1:24" x14ac:dyDescent="0.3">
      <c r="A221" s="2">
        <v>220</v>
      </c>
      <c r="B221" t="s">
        <v>595</v>
      </c>
      <c r="C221" t="s">
        <v>583</v>
      </c>
      <c r="D221" t="s">
        <v>596</v>
      </c>
      <c r="E221" t="s">
        <v>238</v>
      </c>
      <c r="F221" t="s">
        <v>518</v>
      </c>
      <c r="G221" s="2">
        <v>7</v>
      </c>
      <c r="H221" s="3">
        <v>80000</v>
      </c>
      <c r="I221" t="s">
        <v>519</v>
      </c>
      <c r="J221" t="s">
        <v>54</v>
      </c>
      <c r="K221" s="2">
        <v>7755332211</v>
      </c>
      <c r="L221" t="s">
        <v>520</v>
      </c>
      <c r="M221" t="s">
        <v>75</v>
      </c>
      <c r="N221" s="4">
        <v>45402</v>
      </c>
      <c r="O221" s="4">
        <v>45427</v>
      </c>
      <c r="P221">
        <f>Procurement[[#This Row],[ Date Delivered ]]-Procurement[[#This Row],[ Date Ordered ]]</f>
        <v>25</v>
      </c>
      <c r="Q221" s="2">
        <v>60</v>
      </c>
      <c r="R221" s="3">
        <v>3000</v>
      </c>
      <c r="S221" s="3">
        <v>2000</v>
      </c>
      <c r="T221" s="3">
        <f>Procurement[[#This Row],[ Quantity ]]*Procurement[[#This Row],[ Unit Price (USD) ]]</f>
        <v>560000</v>
      </c>
      <c r="U221" s="3">
        <f>Procurement[[#This Row],[Total Procurement Cost]]+Procurement[[#This Row],[ Maintenance Cost (USD/year) ]]+Procurement[[#This Row],[ Installation Cost (USD) ]]</f>
        <v>565000</v>
      </c>
      <c r="V221" t="s">
        <v>28</v>
      </c>
      <c r="W221" t="str">
        <f>IF(Procurement[[#This Row],[Delivery Days]]&gt;0,"Late",IF(Procurement[[#This Row],[Delivery Days]]=0,"On Time","Early"))</f>
        <v>Late</v>
      </c>
      <c r="X221" t="str">
        <f>IF(Procurement[[#This Row],[ Warranty Period (Months) ]]&lt;24,"Short",IF(Procurement[[#This Row],[ Warranty Period (Months) ]]&lt;36,"Medium","Long"))</f>
        <v>Long</v>
      </c>
    </row>
    <row r="222" spans="1:24" x14ac:dyDescent="0.3">
      <c r="A222" s="2">
        <v>221</v>
      </c>
      <c r="B222" t="s">
        <v>561</v>
      </c>
      <c r="C222" t="s">
        <v>179</v>
      </c>
      <c r="D222" t="s">
        <v>562</v>
      </c>
      <c r="E222" t="s">
        <v>231</v>
      </c>
      <c r="F222" t="s">
        <v>379</v>
      </c>
      <c r="G222" s="2">
        <v>4</v>
      </c>
      <c r="H222" s="3">
        <v>20000</v>
      </c>
      <c r="I222" t="s">
        <v>380</v>
      </c>
      <c r="J222" t="s">
        <v>44</v>
      </c>
      <c r="K222" s="2">
        <v>3322114455</v>
      </c>
      <c r="L222" t="s">
        <v>466</v>
      </c>
      <c r="M222" t="s">
        <v>46</v>
      </c>
      <c r="N222" s="4">
        <v>45353</v>
      </c>
      <c r="O222" s="4">
        <v>45376</v>
      </c>
      <c r="P222">
        <f>Procurement[[#This Row],[ Date Delivered ]]-Procurement[[#This Row],[ Date Ordered ]]</f>
        <v>23</v>
      </c>
      <c r="Q222" s="2">
        <v>36</v>
      </c>
      <c r="R222" s="3">
        <v>2500</v>
      </c>
      <c r="S222" s="3">
        <v>1500</v>
      </c>
      <c r="T222" s="3">
        <f>Procurement[[#This Row],[ Quantity ]]*Procurement[[#This Row],[ Unit Price (USD) ]]</f>
        <v>80000</v>
      </c>
      <c r="U222" s="3">
        <f>Procurement[[#This Row],[Total Procurement Cost]]+Procurement[[#This Row],[ Maintenance Cost (USD/year) ]]+Procurement[[#This Row],[ Installation Cost (USD) ]]</f>
        <v>84000</v>
      </c>
      <c r="V222" t="s">
        <v>28</v>
      </c>
      <c r="W222" t="str">
        <f>IF(Procurement[[#This Row],[Delivery Days]]&gt;0,"Late",IF(Procurement[[#This Row],[Delivery Days]]=0,"On Time","Early"))</f>
        <v>Late</v>
      </c>
      <c r="X222" t="str">
        <f>IF(Procurement[[#This Row],[ Warranty Period (Months) ]]&lt;24,"Short",IF(Procurement[[#This Row],[ Warranty Period (Months) ]]&lt;36,"Medium","Long"))</f>
        <v>Long</v>
      </c>
    </row>
    <row r="223" spans="1:24" x14ac:dyDescent="0.3">
      <c r="A223" s="2">
        <v>222</v>
      </c>
      <c r="B223" t="s">
        <v>521</v>
      </c>
      <c r="C223" t="s">
        <v>597</v>
      </c>
      <c r="D223" t="s">
        <v>493</v>
      </c>
      <c r="E223" t="s">
        <v>114</v>
      </c>
      <c r="F223" t="s">
        <v>522</v>
      </c>
      <c r="G223" s="2">
        <v>2</v>
      </c>
      <c r="H223" s="3">
        <v>10000</v>
      </c>
      <c r="I223" t="s">
        <v>523</v>
      </c>
      <c r="J223" t="s">
        <v>524</v>
      </c>
      <c r="K223" s="2">
        <v>3322114455</v>
      </c>
      <c r="L223" t="s">
        <v>525</v>
      </c>
      <c r="M223" t="s">
        <v>27</v>
      </c>
      <c r="N223" s="4">
        <v>45369</v>
      </c>
      <c r="O223" s="4">
        <v>45394</v>
      </c>
      <c r="P223">
        <f>Procurement[[#This Row],[ Date Delivered ]]-Procurement[[#This Row],[ Date Ordered ]]</f>
        <v>25</v>
      </c>
      <c r="Q223" s="2">
        <v>36</v>
      </c>
      <c r="R223" s="3">
        <v>1200</v>
      </c>
      <c r="S223" s="3">
        <v>800</v>
      </c>
      <c r="T223" s="3">
        <f>Procurement[[#This Row],[ Quantity ]]*Procurement[[#This Row],[ Unit Price (USD) ]]</f>
        <v>20000</v>
      </c>
      <c r="U223" s="3">
        <f>Procurement[[#This Row],[Total Procurement Cost]]+Procurement[[#This Row],[ Maintenance Cost (USD/year) ]]+Procurement[[#This Row],[ Installation Cost (USD) ]]</f>
        <v>22000</v>
      </c>
      <c r="V223" t="s">
        <v>28</v>
      </c>
      <c r="W223" t="str">
        <f>IF(Procurement[[#This Row],[Delivery Days]]&gt;0,"Late",IF(Procurement[[#This Row],[Delivery Days]]=0,"On Time","Early"))</f>
        <v>Late</v>
      </c>
      <c r="X223" t="str">
        <f>IF(Procurement[[#This Row],[ Warranty Period (Months) ]]&lt;24,"Short",IF(Procurement[[#This Row],[ Warranty Period (Months) ]]&lt;36,"Medium","Long"))</f>
        <v>Long</v>
      </c>
    </row>
    <row r="224" spans="1:24" x14ac:dyDescent="0.3">
      <c r="A224" s="2">
        <v>223</v>
      </c>
      <c r="B224" t="s">
        <v>579</v>
      </c>
      <c r="C224" t="s">
        <v>580</v>
      </c>
      <c r="D224" t="s">
        <v>581</v>
      </c>
      <c r="E224" t="s">
        <v>238</v>
      </c>
      <c r="F224" t="s">
        <v>528</v>
      </c>
      <c r="G224" s="2">
        <v>3</v>
      </c>
      <c r="H224" s="3">
        <v>200000</v>
      </c>
      <c r="I224" t="s">
        <v>529</v>
      </c>
      <c r="J224" t="s">
        <v>25</v>
      </c>
      <c r="K224" s="2">
        <v>1122334455</v>
      </c>
      <c r="L224" t="s">
        <v>530</v>
      </c>
      <c r="M224" t="s">
        <v>27</v>
      </c>
      <c r="N224" s="4">
        <v>45383</v>
      </c>
      <c r="O224" s="4">
        <v>45412</v>
      </c>
      <c r="P224">
        <f>Procurement[[#This Row],[ Date Delivered ]]-Procurement[[#This Row],[ Date Ordered ]]</f>
        <v>29</v>
      </c>
      <c r="Q224" s="2">
        <v>60</v>
      </c>
      <c r="R224" s="3">
        <v>5000</v>
      </c>
      <c r="S224" s="3">
        <v>3000</v>
      </c>
      <c r="T224" s="3">
        <f>Procurement[[#This Row],[ Quantity ]]*Procurement[[#This Row],[ Unit Price (USD) ]]</f>
        <v>600000</v>
      </c>
      <c r="U224" s="3">
        <f>Procurement[[#This Row],[Total Procurement Cost]]+Procurement[[#This Row],[ Maintenance Cost (USD/year) ]]+Procurement[[#This Row],[ Installation Cost (USD) ]]</f>
        <v>608000</v>
      </c>
      <c r="V224" t="s">
        <v>28</v>
      </c>
      <c r="W224" t="str">
        <f>IF(Procurement[[#This Row],[Delivery Days]]&gt;0,"Late",IF(Procurement[[#This Row],[Delivery Days]]=0,"On Time","Early"))</f>
        <v>Late</v>
      </c>
      <c r="X224" t="str">
        <f>IF(Procurement[[#This Row],[ Warranty Period (Months) ]]&lt;24,"Short",IF(Procurement[[#This Row],[ Warranty Period (Months) ]]&lt;36,"Medium","Long"))</f>
        <v>Long</v>
      </c>
    </row>
    <row r="225" spans="1:24" x14ac:dyDescent="0.3">
      <c r="A225" s="2">
        <v>224</v>
      </c>
      <c r="B225" t="s">
        <v>582</v>
      </c>
      <c r="C225" t="s">
        <v>583</v>
      </c>
      <c r="D225" t="s">
        <v>584</v>
      </c>
      <c r="E225" t="s">
        <v>216</v>
      </c>
      <c r="F225" t="s">
        <v>398</v>
      </c>
      <c r="G225" s="2">
        <v>6</v>
      </c>
      <c r="H225" s="3">
        <v>8000</v>
      </c>
      <c r="I225" t="s">
        <v>322</v>
      </c>
      <c r="J225" t="s">
        <v>219</v>
      </c>
      <c r="K225" s="2">
        <v>7755332211</v>
      </c>
      <c r="L225" t="s">
        <v>452</v>
      </c>
      <c r="M225" t="s">
        <v>221</v>
      </c>
      <c r="N225" s="4">
        <v>45344</v>
      </c>
      <c r="O225" s="4">
        <v>45369</v>
      </c>
      <c r="P225">
        <f>Procurement[[#This Row],[ Date Delivered ]]-Procurement[[#This Row],[ Date Ordered ]]</f>
        <v>25</v>
      </c>
      <c r="Q225" s="2">
        <v>24</v>
      </c>
      <c r="R225" s="3">
        <v>1000</v>
      </c>
      <c r="S225" s="3">
        <v>500</v>
      </c>
      <c r="T225" s="3">
        <f>Procurement[[#This Row],[ Quantity ]]*Procurement[[#This Row],[ Unit Price (USD) ]]</f>
        <v>48000</v>
      </c>
      <c r="U225" s="3">
        <f>Procurement[[#This Row],[Total Procurement Cost]]+Procurement[[#This Row],[ Maintenance Cost (USD/year) ]]+Procurement[[#This Row],[ Installation Cost (USD) ]]</f>
        <v>49500</v>
      </c>
      <c r="V225" t="s">
        <v>47</v>
      </c>
      <c r="W225" t="str">
        <f>IF(Procurement[[#This Row],[Delivery Days]]&gt;0,"Late",IF(Procurement[[#This Row],[Delivery Days]]=0,"On Time","Early"))</f>
        <v>Late</v>
      </c>
      <c r="X225" t="str">
        <f>IF(Procurement[[#This Row],[ Warranty Period (Months) ]]&lt;24,"Short",IF(Procurement[[#This Row],[ Warranty Period (Months) ]]&lt;36,"Medium","Long"))</f>
        <v>Medium</v>
      </c>
    </row>
    <row r="226" spans="1:24" x14ac:dyDescent="0.3">
      <c r="A226" s="2">
        <v>225</v>
      </c>
      <c r="B226" t="s">
        <v>585</v>
      </c>
      <c r="C226" t="s">
        <v>397</v>
      </c>
      <c r="D226" t="s">
        <v>476</v>
      </c>
      <c r="E226" t="s">
        <v>114</v>
      </c>
      <c r="F226" t="s">
        <v>477</v>
      </c>
      <c r="G226" s="2">
        <v>4</v>
      </c>
      <c r="H226" s="3">
        <v>40000</v>
      </c>
      <c r="I226" t="s">
        <v>272</v>
      </c>
      <c r="J226" t="s">
        <v>54</v>
      </c>
      <c r="K226" s="2">
        <v>7755332211</v>
      </c>
      <c r="L226" t="s">
        <v>478</v>
      </c>
      <c r="M226" t="s">
        <v>56</v>
      </c>
      <c r="N226" s="4">
        <v>45316</v>
      </c>
      <c r="O226" s="4">
        <v>45342</v>
      </c>
      <c r="P226">
        <f>Procurement[[#This Row],[ Date Delivered ]]-Procurement[[#This Row],[ Date Ordered ]]</f>
        <v>26</v>
      </c>
      <c r="Q226" s="2">
        <v>48</v>
      </c>
      <c r="R226" s="3">
        <v>2000</v>
      </c>
      <c r="S226" s="3">
        <v>1200</v>
      </c>
      <c r="T226" s="3">
        <f>Procurement[[#This Row],[ Quantity ]]*Procurement[[#This Row],[ Unit Price (USD) ]]</f>
        <v>160000</v>
      </c>
      <c r="U226" s="3">
        <f>Procurement[[#This Row],[Total Procurement Cost]]+Procurement[[#This Row],[ Maintenance Cost (USD/year) ]]+Procurement[[#This Row],[ Installation Cost (USD) ]]</f>
        <v>163200</v>
      </c>
      <c r="V226" t="s">
        <v>28</v>
      </c>
      <c r="W226" t="str">
        <f>IF(Procurement[[#This Row],[Delivery Days]]&gt;0,"Late",IF(Procurement[[#This Row],[Delivery Days]]=0,"On Time","Early"))</f>
        <v>Late</v>
      </c>
      <c r="X226" t="str">
        <f>IF(Procurement[[#This Row],[ Warranty Period (Months) ]]&lt;24,"Short",IF(Procurement[[#This Row],[ Warranty Period (Months) ]]&lt;36,"Medium","Long"))</f>
        <v>Long</v>
      </c>
    </row>
    <row r="227" spans="1:24" x14ac:dyDescent="0.3">
      <c r="A227" s="2">
        <v>226</v>
      </c>
      <c r="B227" t="s">
        <v>586</v>
      </c>
      <c r="C227" t="s">
        <v>207</v>
      </c>
      <c r="D227" t="s">
        <v>587</v>
      </c>
      <c r="E227" t="s">
        <v>216</v>
      </c>
      <c r="F227" t="s">
        <v>494</v>
      </c>
      <c r="G227" s="2">
        <v>2</v>
      </c>
      <c r="H227" s="3">
        <v>5000</v>
      </c>
      <c r="I227" t="s">
        <v>322</v>
      </c>
      <c r="J227" t="s">
        <v>219</v>
      </c>
      <c r="K227" s="2">
        <v>7755332211</v>
      </c>
      <c r="L227" t="s">
        <v>452</v>
      </c>
      <c r="M227" t="s">
        <v>221</v>
      </c>
      <c r="N227" s="4">
        <v>45352</v>
      </c>
      <c r="O227" s="4">
        <v>45376</v>
      </c>
      <c r="P227">
        <f>Procurement[[#This Row],[ Date Delivered ]]-Procurement[[#This Row],[ Date Ordered ]]</f>
        <v>24</v>
      </c>
      <c r="Q227" s="2">
        <v>24</v>
      </c>
      <c r="R227" s="3">
        <v>800</v>
      </c>
      <c r="S227" s="3">
        <v>500</v>
      </c>
      <c r="T227" s="3">
        <f>Procurement[[#This Row],[ Quantity ]]*Procurement[[#This Row],[ Unit Price (USD) ]]</f>
        <v>10000</v>
      </c>
      <c r="U227" s="3">
        <f>Procurement[[#This Row],[Total Procurement Cost]]+Procurement[[#This Row],[ Maintenance Cost (USD/year) ]]+Procurement[[#This Row],[ Installation Cost (USD) ]]</f>
        <v>11300</v>
      </c>
      <c r="V227" t="s">
        <v>47</v>
      </c>
      <c r="W227" t="str">
        <f>IF(Procurement[[#This Row],[Delivery Days]]&gt;0,"Late",IF(Procurement[[#This Row],[Delivery Days]]=0,"On Time","Early"))</f>
        <v>Late</v>
      </c>
      <c r="X227" t="str">
        <f>IF(Procurement[[#This Row],[ Warranty Period (Months) ]]&lt;24,"Short",IF(Procurement[[#This Row],[ Warranty Period (Months) ]]&lt;36,"Medium","Long"))</f>
        <v>Medium</v>
      </c>
    </row>
    <row r="228" spans="1:24" x14ac:dyDescent="0.3">
      <c r="A228" s="2">
        <v>227</v>
      </c>
      <c r="B228" t="s">
        <v>588</v>
      </c>
      <c r="C228" t="s">
        <v>589</v>
      </c>
      <c r="D228" t="s">
        <v>590</v>
      </c>
      <c r="E228" t="s">
        <v>231</v>
      </c>
      <c r="F228" t="s">
        <v>488</v>
      </c>
      <c r="G228" s="2">
        <v>5</v>
      </c>
      <c r="H228" s="3">
        <v>50000</v>
      </c>
      <c r="I228" t="s">
        <v>335</v>
      </c>
      <c r="J228" t="s">
        <v>44</v>
      </c>
      <c r="K228" s="2">
        <v>3322114455</v>
      </c>
      <c r="L228" t="s">
        <v>470</v>
      </c>
      <c r="M228" t="s">
        <v>46</v>
      </c>
      <c r="N228" s="4">
        <v>45366</v>
      </c>
      <c r="O228" s="4">
        <v>45392</v>
      </c>
      <c r="P228">
        <f>Procurement[[#This Row],[ Date Delivered ]]-Procurement[[#This Row],[ Date Ordered ]]</f>
        <v>26</v>
      </c>
      <c r="Q228" s="2">
        <v>36</v>
      </c>
      <c r="R228" s="3">
        <v>1800</v>
      </c>
      <c r="S228" s="3">
        <v>1000</v>
      </c>
      <c r="T228" s="3">
        <f>Procurement[[#This Row],[ Quantity ]]*Procurement[[#This Row],[ Unit Price (USD) ]]</f>
        <v>250000</v>
      </c>
      <c r="U228" s="3">
        <f>Procurement[[#This Row],[Total Procurement Cost]]+Procurement[[#This Row],[ Maintenance Cost (USD/year) ]]+Procurement[[#This Row],[ Installation Cost (USD) ]]</f>
        <v>252800</v>
      </c>
      <c r="V228" t="s">
        <v>47</v>
      </c>
      <c r="W228" t="str">
        <f>IF(Procurement[[#This Row],[Delivery Days]]&gt;0,"Late",IF(Procurement[[#This Row],[Delivery Days]]=0,"On Time","Early"))</f>
        <v>Late</v>
      </c>
      <c r="X228" t="str">
        <f>IF(Procurement[[#This Row],[ Warranty Period (Months) ]]&lt;24,"Short",IF(Procurement[[#This Row],[ Warranty Period (Months) ]]&lt;36,"Medium","Long"))</f>
        <v>Long</v>
      </c>
    </row>
    <row r="229" spans="1:24" x14ac:dyDescent="0.3">
      <c r="A229" s="2">
        <v>228</v>
      </c>
      <c r="B229" t="s">
        <v>591</v>
      </c>
      <c r="C229" t="s">
        <v>592</v>
      </c>
      <c r="D229" t="s">
        <v>550</v>
      </c>
      <c r="E229" t="s">
        <v>238</v>
      </c>
      <c r="F229" t="s">
        <v>400</v>
      </c>
      <c r="G229" s="2">
        <v>3</v>
      </c>
      <c r="H229" s="3">
        <v>30000</v>
      </c>
      <c r="I229" t="s">
        <v>401</v>
      </c>
      <c r="J229" t="s">
        <v>91</v>
      </c>
      <c r="K229" s="2">
        <v>6677889900</v>
      </c>
      <c r="L229" t="s">
        <v>474</v>
      </c>
      <c r="M229" t="s">
        <v>93</v>
      </c>
      <c r="N229" s="4">
        <v>45361</v>
      </c>
      <c r="O229" s="4">
        <v>45387</v>
      </c>
      <c r="P229">
        <f>Procurement[[#This Row],[ Date Delivered ]]-Procurement[[#This Row],[ Date Ordered ]]</f>
        <v>26</v>
      </c>
      <c r="Q229" s="2">
        <v>36</v>
      </c>
      <c r="R229" s="3">
        <v>1500</v>
      </c>
      <c r="S229" s="3">
        <v>800</v>
      </c>
      <c r="T229" s="3">
        <f>Procurement[[#This Row],[ Quantity ]]*Procurement[[#This Row],[ Unit Price (USD) ]]</f>
        <v>90000</v>
      </c>
      <c r="U229" s="3">
        <f>Procurement[[#This Row],[Total Procurement Cost]]+Procurement[[#This Row],[ Maintenance Cost (USD/year) ]]+Procurement[[#This Row],[ Installation Cost (USD) ]]</f>
        <v>92300</v>
      </c>
      <c r="V229" t="s">
        <v>57</v>
      </c>
      <c r="W229" t="str">
        <f>IF(Procurement[[#This Row],[Delivery Days]]&gt;0,"Late",IF(Procurement[[#This Row],[Delivery Days]]=0,"On Time","Early"))</f>
        <v>Late</v>
      </c>
      <c r="X229" t="str">
        <f>IF(Procurement[[#This Row],[ Warranty Period (Months) ]]&lt;24,"Short",IF(Procurement[[#This Row],[ Warranty Period (Months) ]]&lt;36,"Medium","Long"))</f>
        <v>Long</v>
      </c>
    </row>
    <row r="230" spans="1:24" x14ac:dyDescent="0.3">
      <c r="A230" s="2">
        <v>229</v>
      </c>
      <c r="B230" t="s">
        <v>565</v>
      </c>
      <c r="C230" t="s">
        <v>593</v>
      </c>
      <c r="D230" t="s">
        <v>567</v>
      </c>
      <c r="E230" t="s">
        <v>114</v>
      </c>
      <c r="F230" t="s">
        <v>522</v>
      </c>
      <c r="G230" s="2">
        <v>6</v>
      </c>
      <c r="H230" s="3">
        <v>10000</v>
      </c>
      <c r="I230" t="s">
        <v>523</v>
      </c>
      <c r="J230" t="s">
        <v>524</v>
      </c>
      <c r="K230" s="2">
        <v>3322114455</v>
      </c>
      <c r="L230" t="s">
        <v>525</v>
      </c>
      <c r="M230" t="s">
        <v>27</v>
      </c>
      <c r="N230" s="4">
        <v>45356</v>
      </c>
      <c r="O230" s="4">
        <v>45379</v>
      </c>
      <c r="P230">
        <f>Procurement[[#This Row],[ Date Delivered ]]-Procurement[[#This Row],[ Date Ordered ]]</f>
        <v>23</v>
      </c>
      <c r="Q230" s="2">
        <v>36</v>
      </c>
      <c r="R230" s="3">
        <v>1200</v>
      </c>
      <c r="S230" s="3">
        <v>800</v>
      </c>
      <c r="T230" s="3">
        <f>Procurement[[#This Row],[ Quantity ]]*Procurement[[#This Row],[ Unit Price (USD) ]]</f>
        <v>60000</v>
      </c>
      <c r="U230" s="3">
        <f>Procurement[[#This Row],[Total Procurement Cost]]+Procurement[[#This Row],[ Maintenance Cost (USD/year) ]]+Procurement[[#This Row],[ Installation Cost (USD) ]]</f>
        <v>62000</v>
      </c>
      <c r="V230" t="s">
        <v>28</v>
      </c>
      <c r="W230" t="str">
        <f>IF(Procurement[[#This Row],[Delivery Days]]&gt;0,"Late",IF(Procurement[[#This Row],[Delivery Days]]=0,"On Time","Early"))</f>
        <v>Late</v>
      </c>
      <c r="X230" t="str">
        <f>IF(Procurement[[#This Row],[ Warranty Period (Months) ]]&lt;24,"Short",IF(Procurement[[#This Row],[ Warranty Period (Months) ]]&lt;36,"Medium","Long"))</f>
        <v>Long</v>
      </c>
    </row>
    <row r="231" spans="1:24" x14ac:dyDescent="0.3">
      <c r="A231" s="2">
        <v>230</v>
      </c>
      <c r="B231" t="s">
        <v>546</v>
      </c>
      <c r="C231" t="s">
        <v>594</v>
      </c>
      <c r="D231" t="s">
        <v>548</v>
      </c>
      <c r="E231" t="s">
        <v>216</v>
      </c>
      <c r="F231" t="s">
        <v>509</v>
      </c>
      <c r="G231" s="2">
        <v>4</v>
      </c>
      <c r="H231" s="3">
        <v>5000</v>
      </c>
      <c r="I231" t="s">
        <v>322</v>
      </c>
      <c r="J231" t="s">
        <v>219</v>
      </c>
      <c r="K231" s="2">
        <v>7755332211</v>
      </c>
      <c r="L231" t="s">
        <v>452</v>
      </c>
      <c r="M231" t="s">
        <v>221</v>
      </c>
      <c r="N231" s="4">
        <v>45350</v>
      </c>
      <c r="O231" s="4">
        <v>45376</v>
      </c>
      <c r="P231">
        <f>Procurement[[#This Row],[ Date Delivered ]]-Procurement[[#This Row],[ Date Ordered ]]</f>
        <v>26</v>
      </c>
      <c r="Q231" s="2">
        <v>24</v>
      </c>
      <c r="R231" s="3">
        <v>800</v>
      </c>
      <c r="S231" s="3">
        <v>500</v>
      </c>
      <c r="T231" s="3">
        <f>Procurement[[#This Row],[ Quantity ]]*Procurement[[#This Row],[ Unit Price (USD) ]]</f>
        <v>20000</v>
      </c>
      <c r="U231" s="3">
        <f>Procurement[[#This Row],[Total Procurement Cost]]+Procurement[[#This Row],[ Maintenance Cost (USD/year) ]]+Procurement[[#This Row],[ Installation Cost (USD) ]]</f>
        <v>21300</v>
      </c>
      <c r="V231" t="s">
        <v>47</v>
      </c>
      <c r="W231" t="str">
        <f>IF(Procurement[[#This Row],[Delivery Days]]&gt;0,"Late",IF(Procurement[[#This Row],[Delivery Days]]=0,"On Time","Early"))</f>
        <v>Late</v>
      </c>
      <c r="X231" t="str">
        <f>IF(Procurement[[#This Row],[ Warranty Period (Months) ]]&lt;24,"Short",IF(Procurement[[#This Row],[ Warranty Period (Months) ]]&lt;36,"Medium","Long"))</f>
        <v>Medium</v>
      </c>
    </row>
    <row r="232" spans="1:24" x14ac:dyDescent="0.3">
      <c r="A232" s="2">
        <v>231</v>
      </c>
      <c r="B232" t="s">
        <v>595</v>
      </c>
      <c r="C232" t="s">
        <v>583</v>
      </c>
      <c r="D232" t="s">
        <v>596</v>
      </c>
      <c r="E232" t="s">
        <v>231</v>
      </c>
      <c r="F232" t="s">
        <v>379</v>
      </c>
      <c r="G232" s="2">
        <v>2</v>
      </c>
      <c r="H232" s="3">
        <v>20000</v>
      </c>
      <c r="I232" t="s">
        <v>380</v>
      </c>
      <c r="J232" t="s">
        <v>44</v>
      </c>
      <c r="K232" s="2">
        <v>3322114455</v>
      </c>
      <c r="L232" t="s">
        <v>466</v>
      </c>
      <c r="M232" t="s">
        <v>46</v>
      </c>
      <c r="N232" s="4">
        <v>45384</v>
      </c>
      <c r="O232" s="4">
        <v>45407</v>
      </c>
      <c r="P232">
        <f>Procurement[[#This Row],[ Date Delivered ]]-Procurement[[#This Row],[ Date Ordered ]]</f>
        <v>23</v>
      </c>
      <c r="Q232" s="2">
        <v>36</v>
      </c>
      <c r="R232" s="3">
        <v>2500</v>
      </c>
      <c r="S232" s="3">
        <v>1500</v>
      </c>
      <c r="T232" s="3">
        <f>Procurement[[#This Row],[ Quantity ]]*Procurement[[#This Row],[ Unit Price (USD) ]]</f>
        <v>40000</v>
      </c>
      <c r="U232" s="3">
        <f>Procurement[[#This Row],[Total Procurement Cost]]+Procurement[[#This Row],[ Maintenance Cost (USD/year) ]]+Procurement[[#This Row],[ Installation Cost (USD) ]]</f>
        <v>44000</v>
      </c>
      <c r="V232" t="s">
        <v>28</v>
      </c>
      <c r="W232" t="str">
        <f>IF(Procurement[[#This Row],[Delivery Days]]&gt;0,"Late",IF(Procurement[[#This Row],[Delivery Days]]=0,"On Time","Early"))</f>
        <v>Late</v>
      </c>
      <c r="X232" t="str">
        <f>IF(Procurement[[#This Row],[ Warranty Period (Months) ]]&lt;24,"Short",IF(Procurement[[#This Row],[ Warranty Period (Months) ]]&lt;36,"Medium","Long"))</f>
        <v>Long</v>
      </c>
    </row>
    <row r="233" spans="1:24" x14ac:dyDescent="0.3">
      <c r="A233" s="2">
        <v>232</v>
      </c>
      <c r="B233" t="s">
        <v>561</v>
      </c>
      <c r="C233" t="s">
        <v>179</v>
      </c>
      <c r="D233" t="s">
        <v>562</v>
      </c>
      <c r="E233" t="s">
        <v>238</v>
      </c>
      <c r="F233" t="s">
        <v>528</v>
      </c>
      <c r="G233" s="2">
        <v>1</v>
      </c>
      <c r="H233" s="3">
        <v>200000</v>
      </c>
      <c r="I233" t="s">
        <v>529</v>
      </c>
      <c r="J233" t="s">
        <v>25</v>
      </c>
      <c r="K233" s="2">
        <v>1122334455</v>
      </c>
      <c r="L233" t="s">
        <v>530</v>
      </c>
      <c r="M233" t="s">
        <v>27</v>
      </c>
      <c r="N233" s="4">
        <v>45352</v>
      </c>
      <c r="O233" s="4">
        <v>45381</v>
      </c>
      <c r="P233">
        <f>Procurement[[#This Row],[ Date Delivered ]]-Procurement[[#This Row],[ Date Ordered ]]</f>
        <v>29</v>
      </c>
      <c r="Q233" s="2">
        <v>60</v>
      </c>
      <c r="R233" s="3">
        <v>5000</v>
      </c>
      <c r="S233" s="3">
        <v>3000</v>
      </c>
      <c r="T233" s="3">
        <f>Procurement[[#This Row],[ Quantity ]]*Procurement[[#This Row],[ Unit Price (USD) ]]</f>
        <v>200000</v>
      </c>
      <c r="U233" s="3">
        <f>Procurement[[#This Row],[Total Procurement Cost]]+Procurement[[#This Row],[ Maintenance Cost (USD/year) ]]+Procurement[[#This Row],[ Installation Cost (USD) ]]</f>
        <v>208000</v>
      </c>
      <c r="V233" t="s">
        <v>28</v>
      </c>
      <c r="W233" t="str">
        <f>IF(Procurement[[#This Row],[Delivery Days]]&gt;0,"Late",IF(Procurement[[#This Row],[Delivery Days]]=0,"On Time","Early"))</f>
        <v>Late</v>
      </c>
      <c r="X233" t="str">
        <f>IF(Procurement[[#This Row],[ Warranty Period (Months) ]]&lt;24,"Short",IF(Procurement[[#This Row],[ Warranty Period (Months) ]]&lt;36,"Medium","Long"))</f>
        <v>Long</v>
      </c>
    </row>
    <row r="234" spans="1:24" x14ac:dyDescent="0.3">
      <c r="A234" s="2">
        <v>233</v>
      </c>
      <c r="B234" t="s">
        <v>521</v>
      </c>
      <c r="C234" t="s">
        <v>597</v>
      </c>
      <c r="D234" t="s">
        <v>493</v>
      </c>
      <c r="E234" t="s">
        <v>216</v>
      </c>
      <c r="F234" t="s">
        <v>398</v>
      </c>
      <c r="G234" s="2">
        <v>3</v>
      </c>
      <c r="H234" s="3">
        <v>8000</v>
      </c>
      <c r="I234" t="s">
        <v>322</v>
      </c>
      <c r="J234" t="s">
        <v>219</v>
      </c>
      <c r="K234" s="2">
        <v>7755332211</v>
      </c>
      <c r="L234" t="s">
        <v>452</v>
      </c>
      <c r="M234" t="s">
        <v>221</v>
      </c>
      <c r="N234" s="4">
        <v>45342</v>
      </c>
      <c r="O234" s="4">
        <v>45369</v>
      </c>
      <c r="P234">
        <f>Procurement[[#This Row],[ Date Delivered ]]-Procurement[[#This Row],[ Date Ordered ]]</f>
        <v>27</v>
      </c>
      <c r="Q234" s="2">
        <v>24</v>
      </c>
      <c r="R234" s="3">
        <v>1000</v>
      </c>
      <c r="S234" s="3">
        <v>500</v>
      </c>
      <c r="T234" s="3">
        <f>Procurement[[#This Row],[ Quantity ]]*Procurement[[#This Row],[ Unit Price (USD) ]]</f>
        <v>24000</v>
      </c>
      <c r="U234" s="3">
        <f>Procurement[[#This Row],[Total Procurement Cost]]+Procurement[[#This Row],[ Maintenance Cost (USD/year) ]]+Procurement[[#This Row],[ Installation Cost (USD) ]]</f>
        <v>25500</v>
      </c>
      <c r="V234" t="s">
        <v>47</v>
      </c>
      <c r="W234" t="str">
        <f>IF(Procurement[[#This Row],[Delivery Days]]&gt;0,"Late",IF(Procurement[[#This Row],[Delivery Days]]=0,"On Time","Early"))</f>
        <v>Late</v>
      </c>
      <c r="X234" t="str">
        <f>IF(Procurement[[#This Row],[ Warranty Period (Months) ]]&lt;24,"Short",IF(Procurement[[#This Row],[ Warranty Period (Months) ]]&lt;36,"Medium","Long"))</f>
        <v>Medium</v>
      </c>
    </row>
    <row r="235" spans="1:24" x14ac:dyDescent="0.3">
      <c r="A235" s="2">
        <v>234</v>
      </c>
      <c r="B235" t="s">
        <v>579</v>
      </c>
      <c r="C235" t="s">
        <v>580</v>
      </c>
      <c r="D235" t="s">
        <v>581</v>
      </c>
      <c r="E235" t="s">
        <v>114</v>
      </c>
      <c r="F235" t="s">
        <v>522</v>
      </c>
      <c r="G235" s="2">
        <v>4</v>
      </c>
      <c r="H235" s="3">
        <v>10000</v>
      </c>
      <c r="I235" t="s">
        <v>523</v>
      </c>
      <c r="J235" t="s">
        <v>524</v>
      </c>
      <c r="K235" s="2">
        <v>3322114455</v>
      </c>
      <c r="L235" t="s">
        <v>525</v>
      </c>
      <c r="M235" t="s">
        <v>27</v>
      </c>
      <c r="N235" s="4">
        <v>45366</v>
      </c>
      <c r="O235" s="4">
        <v>45392</v>
      </c>
      <c r="P235">
        <f>Procurement[[#This Row],[ Date Delivered ]]-Procurement[[#This Row],[ Date Ordered ]]</f>
        <v>26</v>
      </c>
      <c r="Q235" s="2">
        <v>36</v>
      </c>
      <c r="R235" s="3">
        <v>1200</v>
      </c>
      <c r="S235" s="3">
        <v>800</v>
      </c>
      <c r="T235" s="3">
        <f>Procurement[[#This Row],[ Quantity ]]*Procurement[[#This Row],[ Unit Price (USD) ]]</f>
        <v>40000</v>
      </c>
      <c r="U235" s="3">
        <f>Procurement[[#This Row],[Total Procurement Cost]]+Procurement[[#This Row],[ Maintenance Cost (USD/year) ]]+Procurement[[#This Row],[ Installation Cost (USD) ]]</f>
        <v>42000</v>
      </c>
      <c r="V235" t="s">
        <v>28</v>
      </c>
      <c r="W235" t="str">
        <f>IF(Procurement[[#This Row],[Delivery Days]]&gt;0,"Late",IF(Procurement[[#This Row],[Delivery Days]]=0,"On Time","Early"))</f>
        <v>Late</v>
      </c>
      <c r="X235" t="str">
        <f>IF(Procurement[[#This Row],[ Warranty Period (Months) ]]&lt;24,"Short",IF(Procurement[[#This Row],[ Warranty Period (Months) ]]&lt;36,"Medium","Long"))</f>
        <v>Long</v>
      </c>
    </row>
    <row r="236" spans="1:24" x14ac:dyDescent="0.3">
      <c r="A236" s="2">
        <v>235</v>
      </c>
      <c r="B236" t="s">
        <v>582</v>
      </c>
      <c r="C236" t="s">
        <v>583</v>
      </c>
      <c r="D236" t="s">
        <v>584</v>
      </c>
      <c r="E236" t="s">
        <v>216</v>
      </c>
      <c r="F236" t="s">
        <v>494</v>
      </c>
      <c r="G236" s="2">
        <v>5</v>
      </c>
      <c r="H236" s="3">
        <v>5000</v>
      </c>
      <c r="I236" t="s">
        <v>322</v>
      </c>
      <c r="J236" t="s">
        <v>219</v>
      </c>
      <c r="K236" s="2">
        <v>7755332211</v>
      </c>
      <c r="L236" t="s">
        <v>452</v>
      </c>
      <c r="M236" t="s">
        <v>221</v>
      </c>
      <c r="N236" s="4">
        <v>45350</v>
      </c>
      <c r="O236" s="4">
        <v>45376</v>
      </c>
      <c r="P236">
        <f>Procurement[[#This Row],[ Date Delivered ]]-Procurement[[#This Row],[ Date Ordered ]]</f>
        <v>26</v>
      </c>
      <c r="Q236" s="2">
        <v>24</v>
      </c>
      <c r="R236" s="3">
        <v>800</v>
      </c>
      <c r="S236" s="3">
        <v>500</v>
      </c>
      <c r="T236" s="3">
        <f>Procurement[[#This Row],[ Quantity ]]*Procurement[[#This Row],[ Unit Price (USD) ]]</f>
        <v>25000</v>
      </c>
      <c r="U236" s="3">
        <f>Procurement[[#This Row],[Total Procurement Cost]]+Procurement[[#This Row],[ Maintenance Cost (USD/year) ]]+Procurement[[#This Row],[ Installation Cost (USD) ]]</f>
        <v>26300</v>
      </c>
      <c r="V236" t="s">
        <v>47</v>
      </c>
      <c r="W236" t="str">
        <f>IF(Procurement[[#This Row],[Delivery Days]]&gt;0,"Late",IF(Procurement[[#This Row],[Delivery Days]]=0,"On Time","Early"))</f>
        <v>Late</v>
      </c>
      <c r="X236" t="str">
        <f>IF(Procurement[[#This Row],[ Warranty Period (Months) ]]&lt;24,"Short",IF(Procurement[[#This Row],[ Warranty Period (Months) ]]&lt;36,"Medium","Long"))</f>
        <v>Medium</v>
      </c>
    </row>
    <row r="237" spans="1:24" x14ac:dyDescent="0.3">
      <c r="A237" s="2">
        <v>236</v>
      </c>
      <c r="B237" t="s">
        <v>585</v>
      </c>
      <c r="C237" t="s">
        <v>397</v>
      </c>
      <c r="D237" t="s">
        <v>476</v>
      </c>
      <c r="E237" t="s">
        <v>238</v>
      </c>
      <c r="F237" t="s">
        <v>400</v>
      </c>
      <c r="G237" s="2">
        <v>2</v>
      </c>
      <c r="H237" s="3">
        <v>30000</v>
      </c>
      <c r="I237" t="s">
        <v>401</v>
      </c>
      <c r="J237" t="s">
        <v>91</v>
      </c>
      <c r="K237" s="2">
        <v>6677889900</v>
      </c>
      <c r="L237" t="s">
        <v>474</v>
      </c>
      <c r="M237" t="s">
        <v>93</v>
      </c>
      <c r="N237" s="4">
        <v>45332</v>
      </c>
      <c r="O237" s="4">
        <v>45356</v>
      </c>
      <c r="P237">
        <f>Procurement[[#This Row],[ Date Delivered ]]-Procurement[[#This Row],[ Date Ordered ]]</f>
        <v>24</v>
      </c>
      <c r="Q237" s="2">
        <v>36</v>
      </c>
      <c r="R237" s="3">
        <v>1500</v>
      </c>
      <c r="S237" s="3">
        <v>800</v>
      </c>
      <c r="T237" s="3">
        <f>Procurement[[#This Row],[ Quantity ]]*Procurement[[#This Row],[ Unit Price (USD) ]]</f>
        <v>60000</v>
      </c>
      <c r="U237" s="3">
        <f>Procurement[[#This Row],[Total Procurement Cost]]+Procurement[[#This Row],[ Maintenance Cost (USD/year) ]]+Procurement[[#This Row],[ Installation Cost (USD) ]]</f>
        <v>62300</v>
      </c>
      <c r="V237" t="s">
        <v>57</v>
      </c>
      <c r="W237" t="str">
        <f>IF(Procurement[[#This Row],[Delivery Days]]&gt;0,"Late",IF(Procurement[[#This Row],[Delivery Days]]=0,"On Time","Early"))</f>
        <v>Late</v>
      </c>
      <c r="X237" t="str">
        <f>IF(Procurement[[#This Row],[ Warranty Period (Months) ]]&lt;24,"Short",IF(Procurement[[#This Row],[ Warranty Period (Months) ]]&lt;36,"Medium","Long"))</f>
        <v>Long</v>
      </c>
    </row>
    <row r="238" spans="1:24" x14ac:dyDescent="0.3">
      <c r="A238" s="2">
        <v>237</v>
      </c>
      <c r="B238" t="s">
        <v>586</v>
      </c>
      <c r="C238" t="s">
        <v>207</v>
      </c>
      <c r="D238" t="s">
        <v>587</v>
      </c>
      <c r="E238" t="s">
        <v>231</v>
      </c>
      <c r="F238" t="s">
        <v>488</v>
      </c>
      <c r="G238" s="2">
        <v>3</v>
      </c>
      <c r="H238" s="3">
        <v>50000</v>
      </c>
      <c r="I238" t="s">
        <v>335</v>
      </c>
      <c r="J238" t="s">
        <v>44</v>
      </c>
      <c r="K238" s="2">
        <v>3322114455</v>
      </c>
      <c r="L238" t="s">
        <v>470</v>
      </c>
      <c r="M238" t="s">
        <v>46</v>
      </c>
      <c r="N238" s="4">
        <v>45356</v>
      </c>
      <c r="O238" s="4">
        <v>45379</v>
      </c>
      <c r="P238">
        <f>Procurement[[#This Row],[ Date Delivered ]]-Procurement[[#This Row],[ Date Ordered ]]</f>
        <v>23</v>
      </c>
      <c r="Q238" s="2">
        <v>36</v>
      </c>
      <c r="R238" s="3">
        <v>1800</v>
      </c>
      <c r="S238" s="3">
        <v>1000</v>
      </c>
      <c r="T238" s="3">
        <f>Procurement[[#This Row],[ Quantity ]]*Procurement[[#This Row],[ Unit Price (USD) ]]</f>
        <v>150000</v>
      </c>
      <c r="U238" s="3">
        <f>Procurement[[#This Row],[Total Procurement Cost]]+Procurement[[#This Row],[ Maintenance Cost (USD/year) ]]+Procurement[[#This Row],[ Installation Cost (USD) ]]</f>
        <v>152800</v>
      </c>
      <c r="V238" t="s">
        <v>47</v>
      </c>
      <c r="W238" t="str">
        <f>IF(Procurement[[#This Row],[Delivery Days]]&gt;0,"Late",IF(Procurement[[#This Row],[Delivery Days]]=0,"On Time","Early"))</f>
        <v>Late</v>
      </c>
      <c r="X238" t="str">
        <f>IF(Procurement[[#This Row],[ Warranty Period (Months) ]]&lt;24,"Short",IF(Procurement[[#This Row],[ Warranty Period (Months) ]]&lt;36,"Medium","Long"))</f>
        <v>Long</v>
      </c>
    </row>
    <row r="239" spans="1:24" x14ac:dyDescent="0.3">
      <c r="A239" s="2">
        <v>238</v>
      </c>
      <c r="B239" t="s">
        <v>588</v>
      </c>
      <c r="C239" t="s">
        <v>589</v>
      </c>
      <c r="D239" t="s">
        <v>590</v>
      </c>
      <c r="E239" t="s">
        <v>114</v>
      </c>
      <c r="F239" t="s">
        <v>477</v>
      </c>
      <c r="G239" s="2">
        <v>5</v>
      </c>
      <c r="H239" s="3">
        <v>40000</v>
      </c>
      <c r="I239" t="s">
        <v>272</v>
      </c>
      <c r="J239" t="s">
        <v>54</v>
      </c>
      <c r="K239" s="2">
        <v>7755332211</v>
      </c>
      <c r="L239" t="s">
        <v>478</v>
      </c>
      <c r="M239" t="s">
        <v>56</v>
      </c>
      <c r="N239" s="4">
        <v>45311</v>
      </c>
      <c r="O239" s="4">
        <v>45337</v>
      </c>
      <c r="P239">
        <f>Procurement[[#This Row],[ Date Delivered ]]-Procurement[[#This Row],[ Date Ordered ]]</f>
        <v>26</v>
      </c>
      <c r="Q239" s="2">
        <v>48</v>
      </c>
      <c r="R239" s="3">
        <v>2000</v>
      </c>
      <c r="S239" s="3">
        <v>1200</v>
      </c>
      <c r="T239" s="3">
        <f>Procurement[[#This Row],[ Quantity ]]*Procurement[[#This Row],[ Unit Price (USD) ]]</f>
        <v>200000</v>
      </c>
      <c r="U239" s="3">
        <f>Procurement[[#This Row],[Total Procurement Cost]]+Procurement[[#This Row],[ Maintenance Cost (USD/year) ]]+Procurement[[#This Row],[ Installation Cost (USD) ]]</f>
        <v>203200</v>
      </c>
      <c r="V239" t="s">
        <v>28</v>
      </c>
      <c r="W239" t="str">
        <f>IF(Procurement[[#This Row],[Delivery Days]]&gt;0,"Late",IF(Procurement[[#This Row],[Delivery Days]]=0,"On Time","Early"))</f>
        <v>Late</v>
      </c>
      <c r="X239" t="str">
        <f>IF(Procurement[[#This Row],[ Warranty Period (Months) ]]&lt;24,"Short",IF(Procurement[[#This Row],[ Warranty Period (Months) ]]&lt;36,"Medium","Long"))</f>
        <v>Long</v>
      </c>
    </row>
    <row r="240" spans="1:24" x14ac:dyDescent="0.3">
      <c r="A240" s="2">
        <v>239</v>
      </c>
      <c r="B240" t="s">
        <v>591</v>
      </c>
      <c r="C240" t="s">
        <v>592</v>
      </c>
      <c r="D240" t="s">
        <v>550</v>
      </c>
      <c r="E240" t="s">
        <v>216</v>
      </c>
      <c r="F240" t="s">
        <v>509</v>
      </c>
      <c r="G240" s="2">
        <v>3</v>
      </c>
      <c r="H240" s="3">
        <v>5000</v>
      </c>
      <c r="I240" t="s">
        <v>322</v>
      </c>
      <c r="J240" t="s">
        <v>219</v>
      </c>
      <c r="K240" s="2">
        <v>7755332211</v>
      </c>
      <c r="L240" t="s">
        <v>452</v>
      </c>
      <c r="M240" t="s">
        <v>221</v>
      </c>
      <c r="N240" s="4">
        <v>45337</v>
      </c>
      <c r="O240" s="4">
        <v>45361</v>
      </c>
      <c r="P240">
        <f>Procurement[[#This Row],[ Date Delivered ]]-Procurement[[#This Row],[ Date Ordered ]]</f>
        <v>24</v>
      </c>
      <c r="Q240" s="2">
        <v>24</v>
      </c>
      <c r="R240" s="3">
        <v>800</v>
      </c>
      <c r="S240" s="3">
        <v>500</v>
      </c>
      <c r="T240" s="3">
        <f>Procurement[[#This Row],[ Quantity ]]*Procurement[[#This Row],[ Unit Price (USD) ]]</f>
        <v>15000</v>
      </c>
      <c r="U240" s="3">
        <f>Procurement[[#This Row],[Total Procurement Cost]]+Procurement[[#This Row],[ Maintenance Cost (USD/year) ]]+Procurement[[#This Row],[ Installation Cost (USD) ]]</f>
        <v>16300</v>
      </c>
      <c r="V240" t="s">
        <v>47</v>
      </c>
      <c r="W240" t="str">
        <f>IF(Procurement[[#This Row],[Delivery Days]]&gt;0,"Late",IF(Procurement[[#This Row],[Delivery Days]]=0,"On Time","Early"))</f>
        <v>Late</v>
      </c>
      <c r="X240" t="str">
        <f>IF(Procurement[[#This Row],[ Warranty Period (Months) ]]&lt;24,"Short",IF(Procurement[[#This Row],[ Warranty Period (Months) ]]&lt;36,"Medium","Long"))</f>
        <v>Medium</v>
      </c>
    </row>
    <row r="241" spans="1:24" x14ac:dyDescent="0.3">
      <c r="A241" s="2">
        <v>240</v>
      </c>
      <c r="B241" t="s">
        <v>565</v>
      </c>
      <c r="C241" t="s">
        <v>593</v>
      </c>
      <c r="D241" t="s">
        <v>567</v>
      </c>
      <c r="E241" t="s">
        <v>238</v>
      </c>
      <c r="F241" t="s">
        <v>518</v>
      </c>
      <c r="G241" s="2">
        <v>7</v>
      </c>
      <c r="H241" s="3">
        <v>80000</v>
      </c>
      <c r="I241" t="s">
        <v>519</v>
      </c>
      <c r="J241" t="s">
        <v>54</v>
      </c>
      <c r="K241" s="2">
        <v>7755332211</v>
      </c>
      <c r="L241" t="s">
        <v>520</v>
      </c>
      <c r="M241" t="s">
        <v>75</v>
      </c>
      <c r="N241" s="4">
        <v>45402</v>
      </c>
      <c r="O241" s="4">
        <v>45427</v>
      </c>
      <c r="P241">
        <f>Procurement[[#This Row],[ Date Delivered ]]-Procurement[[#This Row],[ Date Ordered ]]</f>
        <v>25</v>
      </c>
      <c r="Q241" s="2">
        <v>60</v>
      </c>
      <c r="R241" s="3">
        <v>3000</v>
      </c>
      <c r="S241" s="3">
        <v>2000</v>
      </c>
      <c r="T241" s="3">
        <f>Procurement[[#This Row],[ Quantity ]]*Procurement[[#This Row],[ Unit Price (USD) ]]</f>
        <v>560000</v>
      </c>
      <c r="U241" s="3">
        <f>Procurement[[#This Row],[Total Procurement Cost]]+Procurement[[#This Row],[ Maintenance Cost (USD/year) ]]+Procurement[[#This Row],[ Installation Cost (USD) ]]</f>
        <v>565000</v>
      </c>
      <c r="V241" t="s">
        <v>28</v>
      </c>
      <c r="W241" t="str">
        <f>IF(Procurement[[#This Row],[Delivery Days]]&gt;0,"Late",IF(Procurement[[#This Row],[Delivery Days]]=0,"On Time","Early"))</f>
        <v>Late</v>
      </c>
      <c r="X241" t="str">
        <f>IF(Procurement[[#This Row],[ Warranty Period (Months) ]]&lt;24,"Short",IF(Procurement[[#This Row],[ Warranty Period (Months) ]]&lt;36,"Medium","Long"))</f>
        <v>Long</v>
      </c>
    </row>
    <row r="242" spans="1:24" x14ac:dyDescent="0.3">
      <c r="A242" s="2">
        <v>241</v>
      </c>
      <c r="B242" t="s">
        <v>546</v>
      </c>
      <c r="C242" t="s">
        <v>594</v>
      </c>
      <c r="D242" t="s">
        <v>548</v>
      </c>
      <c r="E242" t="s">
        <v>231</v>
      </c>
      <c r="F242" t="s">
        <v>379</v>
      </c>
      <c r="G242" s="2">
        <v>4</v>
      </c>
      <c r="H242" s="3">
        <v>20000</v>
      </c>
      <c r="I242" t="s">
        <v>380</v>
      </c>
      <c r="J242" t="s">
        <v>44</v>
      </c>
      <c r="K242" s="2">
        <v>3322114455</v>
      </c>
      <c r="L242" t="s">
        <v>466</v>
      </c>
      <c r="M242" t="s">
        <v>46</v>
      </c>
      <c r="N242" s="4">
        <v>45353</v>
      </c>
      <c r="O242" s="4">
        <v>45376</v>
      </c>
      <c r="P242">
        <f>Procurement[[#This Row],[ Date Delivered ]]-Procurement[[#This Row],[ Date Ordered ]]</f>
        <v>23</v>
      </c>
      <c r="Q242" s="2">
        <v>36</v>
      </c>
      <c r="R242" s="3">
        <v>2500</v>
      </c>
      <c r="S242" s="3">
        <v>1500</v>
      </c>
      <c r="T242" s="3">
        <f>Procurement[[#This Row],[ Quantity ]]*Procurement[[#This Row],[ Unit Price (USD) ]]</f>
        <v>80000</v>
      </c>
      <c r="U242" s="3">
        <f>Procurement[[#This Row],[Total Procurement Cost]]+Procurement[[#This Row],[ Maintenance Cost (USD/year) ]]+Procurement[[#This Row],[ Installation Cost (USD) ]]</f>
        <v>84000</v>
      </c>
      <c r="V242" t="s">
        <v>28</v>
      </c>
      <c r="W242" t="str">
        <f>IF(Procurement[[#This Row],[Delivery Days]]&gt;0,"Late",IF(Procurement[[#This Row],[Delivery Days]]=0,"On Time","Early"))</f>
        <v>Late</v>
      </c>
      <c r="X242" t="str">
        <f>IF(Procurement[[#This Row],[ Warranty Period (Months) ]]&lt;24,"Short",IF(Procurement[[#This Row],[ Warranty Period (Months) ]]&lt;36,"Medium","Long"))</f>
        <v>Long</v>
      </c>
    </row>
    <row r="243" spans="1:24" x14ac:dyDescent="0.3">
      <c r="A243" s="2">
        <v>242</v>
      </c>
      <c r="B243" t="s">
        <v>595</v>
      </c>
      <c r="C243" t="s">
        <v>583</v>
      </c>
      <c r="D243" t="s">
        <v>596</v>
      </c>
      <c r="E243" t="s">
        <v>238</v>
      </c>
      <c r="F243" t="s">
        <v>528</v>
      </c>
      <c r="G243" s="2">
        <v>2</v>
      </c>
      <c r="H243" s="3">
        <v>200000</v>
      </c>
      <c r="I243" t="s">
        <v>529</v>
      </c>
      <c r="J243" t="s">
        <v>25</v>
      </c>
      <c r="K243" s="2">
        <v>1122334455</v>
      </c>
      <c r="L243" t="s">
        <v>530</v>
      </c>
      <c r="M243" t="s">
        <v>27</v>
      </c>
      <c r="N243" s="4">
        <v>45383</v>
      </c>
      <c r="O243" s="4">
        <v>45412</v>
      </c>
      <c r="P243">
        <f>Procurement[[#This Row],[ Date Delivered ]]-Procurement[[#This Row],[ Date Ordered ]]</f>
        <v>29</v>
      </c>
      <c r="Q243" s="2">
        <v>60</v>
      </c>
      <c r="R243" s="3">
        <v>5000</v>
      </c>
      <c r="S243" s="3">
        <v>3000</v>
      </c>
      <c r="T243" s="3">
        <f>Procurement[[#This Row],[ Quantity ]]*Procurement[[#This Row],[ Unit Price (USD) ]]</f>
        <v>400000</v>
      </c>
      <c r="U243" s="3">
        <f>Procurement[[#This Row],[Total Procurement Cost]]+Procurement[[#This Row],[ Maintenance Cost (USD/year) ]]+Procurement[[#This Row],[ Installation Cost (USD) ]]</f>
        <v>408000</v>
      </c>
      <c r="V243" t="s">
        <v>28</v>
      </c>
      <c r="W243" t="str">
        <f>IF(Procurement[[#This Row],[Delivery Days]]&gt;0,"Late",IF(Procurement[[#This Row],[Delivery Days]]=0,"On Time","Early"))</f>
        <v>Late</v>
      </c>
      <c r="X243" t="str">
        <f>IF(Procurement[[#This Row],[ Warranty Period (Months) ]]&lt;24,"Short",IF(Procurement[[#This Row],[ Warranty Period (Months) ]]&lt;36,"Medium","Long"))</f>
        <v>Long</v>
      </c>
    </row>
    <row r="244" spans="1:24" x14ac:dyDescent="0.3">
      <c r="A244" s="2">
        <v>243</v>
      </c>
      <c r="B244" t="s">
        <v>561</v>
      </c>
      <c r="C244" t="s">
        <v>179</v>
      </c>
      <c r="D244" t="s">
        <v>562</v>
      </c>
      <c r="E244" t="s">
        <v>216</v>
      </c>
      <c r="F244" t="s">
        <v>398</v>
      </c>
      <c r="G244" s="2">
        <v>3</v>
      </c>
      <c r="H244" s="3">
        <v>8000</v>
      </c>
      <c r="I244" t="s">
        <v>322</v>
      </c>
      <c r="J244" t="s">
        <v>219</v>
      </c>
      <c r="K244" s="2">
        <v>7755332211</v>
      </c>
      <c r="L244" t="s">
        <v>452</v>
      </c>
      <c r="M244" t="s">
        <v>221</v>
      </c>
      <c r="N244" s="4">
        <v>45366</v>
      </c>
      <c r="O244" s="4">
        <v>45392</v>
      </c>
      <c r="P244">
        <f>Procurement[[#This Row],[ Date Delivered ]]-Procurement[[#This Row],[ Date Ordered ]]</f>
        <v>26</v>
      </c>
      <c r="Q244" s="2">
        <v>24</v>
      </c>
      <c r="R244" s="3">
        <v>1000</v>
      </c>
      <c r="S244" s="3">
        <v>500</v>
      </c>
      <c r="T244" s="3">
        <f>Procurement[[#This Row],[ Quantity ]]*Procurement[[#This Row],[ Unit Price (USD) ]]</f>
        <v>24000</v>
      </c>
      <c r="U244" s="3">
        <f>Procurement[[#This Row],[Total Procurement Cost]]+Procurement[[#This Row],[ Maintenance Cost (USD/year) ]]+Procurement[[#This Row],[ Installation Cost (USD) ]]</f>
        <v>25500</v>
      </c>
      <c r="V244" t="s">
        <v>47</v>
      </c>
      <c r="W244" t="str">
        <f>IF(Procurement[[#This Row],[Delivery Days]]&gt;0,"Late",IF(Procurement[[#This Row],[Delivery Days]]=0,"On Time","Early"))</f>
        <v>Late</v>
      </c>
      <c r="X244" t="str">
        <f>IF(Procurement[[#This Row],[ Warranty Period (Months) ]]&lt;24,"Short",IF(Procurement[[#This Row],[ Warranty Period (Months) ]]&lt;36,"Medium","Long"))</f>
        <v>Medium</v>
      </c>
    </row>
    <row r="245" spans="1:24" x14ac:dyDescent="0.3">
      <c r="A245" s="2">
        <v>244</v>
      </c>
      <c r="B245" t="s">
        <v>521</v>
      </c>
      <c r="C245" t="s">
        <v>597</v>
      </c>
      <c r="D245" t="s">
        <v>493</v>
      </c>
      <c r="E245" t="s">
        <v>114</v>
      </c>
      <c r="F245" t="s">
        <v>522</v>
      </c>
      <c r="G245" s="2">
        <v>2</v>
      </c>
      <c r="H245" s="3">
        <v>10000</v>
      </c>
      <c r="I245" t="s">
        <v>523</v>
      </c>
      <c r="J245" t="s">
        <v>524</v>
      </c>
      <c r="K245" s="2">
        <v>3322114455</v>
      </c>
      <c r="L245" t="s">
        <v>525</v>
      </c>
      <c r="M245" t="s">
        <v>27</v>
      </c>
      <c r="N245" s="4">
        <v>45369</v>
      </c>
      <c r="O245" s="4">
        <v>45394</v>
      </c>
      <c r="P245">
        <f>Procurement[[#This Row],[ Date Delivered ]]-Procurement[[#This Row],[ Date Ordered ]]</f>
        <v>25</v>
      </c>
      <c r="Q245" s="2">
        <v>36</v>
      </c>
      <c r="R245" s="3">
        <v>1200</v>
      </c>
      <c r="S245" s="3">
        <v>800</v>
      </c>
      <c r="T245" s="3">
        <f>Procurement[[#This Row],[ Quantity ]]*Procurement[[#This Row],[ Unit Price (USD) ]]</f>
        <v>20000</v>
      </c>
      <c r="U245" s="3">
        <f>Procurement[[#This Row],[Total Procurement Cost]]+Procurement[[#This Row],[ Maintenance Cost (USD/year) ]]+Procurement[[#This Row],[ Installation Cost (USD) ]]</f>
        <v>22000</v>
      </c>
      <c r="V245" t="s">
        <v>28</v>
      </c>
      <c r="W245" t="str">
        <f>IF(Procurement[[#This Row],[Delivery Days]]&gt;0,"Late",IF(Procurement[[#This Row],[Delivery Days]]=0,"On Time","Early"))</f>
        <v>Late</v>
      </c>
      <c r="X245" t="str">
        <f>IF(Procurement[[#This Row],[ Warranty Period (Months) ]]&lt;24,"Short",IF(Procurement[[#This Row],[ Warranty Period (Months) ]]&lt;36,"Medium","Long"))</f>
        <v>Long</v>
      </c>
    </row>
    <row r="246" spans="1:24" x14ac:dyDescent="0.3">
      <c r="A246" s="2">
        <v>245</v>
      </c>
      <c r="B246" t="s">
        <v>579</v>
      </c>
      <c r="C246" t="s">
        <v>580</v>
      </c>
      <c r="D246" t="s">
        <v>581</v>
      </c>
      <c r="E246" t="s">
        <v>238</v>
      </c>
      <c r="F246" t="s">
        <v>400</v>
      </c>
      <c r="G246" s="2">
        <v>3</v>
      </c>
      <c r="H246" s="3">
        <v>30000</v>
      </c>
      <c r="I246" t="s">
        <v>401</v>
      </c>
      <c r="J246" t="s">
        <v>91</v>
      </c>
      <c r="K246" s="2">
        <v>6677889900</v>
      </c>
      <c r="L246" t="s">
        <v>474</v>
      </c>
      <c r="M246" t="s">
        <v>93</v>
      </c>
      <c r="N246" s="4">
        <v>45361</v>
      </c>
      <c r="O246" s="4">
        <v>45387</v>
      </c>
      <c r="P246">
        <f>Procurement[[#This Row],[ Date Delivered ]]-Procurement[[#This Row],[ Date Ordered ]]</f>
        <v>26</v>
      </c>
      <c r="Q246" s="2">
        <v>36</v>
      </c>
      <c r="R246" s="3">
        <v>1500</v>
      </c>
      <c r="S246" s="3">
        <v>800</v>
      </c>
      <c r="T246" s="3">
        <f>Procurement[[#This Row],[ Quantity ]]*Procurement[[#This Row],[ Unit Price (USD) ]]</f>
        <v>90000</v>
      </c>
      <c r="U246" s="3">
        <f>Procurement[[#This Row],[Total Procurement Cost]]+Procurement[[#This Row],[ Maintenance Cost (USD/year) ]]+Procurement[[#This Row],[ Installation Cost (USD) ]]</f>
        <v>92300</v>
      </c>
      <c r="V246" t="s">
        <v>57</v>
      </c>
      <c r="W246" t="str">
        <f>IF(Procurement[[#This Row],[Delivery Days]]&gt;0,"Late",IF(Procurement[[#This Row],[Delivery Days]]=0,"On Time","Early"))</f>
        <v>Late</v>
      </c>
      <c r="X246" t="str">
        <f>IF(Procurement[[#This Row],[ Warranty Period (Months) ]]&lt;24,"Short",IF(Procurement[[#This Row],[ Warranty Period (Months) ]]&lt;36,"Medium","Long"))</f>
        <v>Long</v>
      </c>
    </row>
    <row r="247" spans="1:24" x14ac:dyDescent="0.3">
      <c r="A247" s="2">
        <v>246</v>
      </c>
      <c r="B247" t="s">
        <v>582</v>
      </c>
      <c r="C247" t="s">
        <v>583</v>
      </c>
      <c r="D247" t="s">
        <v>584</v>
      </c>
      <c r="E247" t="s">
        <v>216</v>
      </c>
      <c r="F247" t="s">
        <v>494</v>
      </c>
      <c r="G247" s="2">
        <v>4</v>
      </c>
      <c r="H247" s="3">
        <v>5000</v>
      </c>
      <c r="I247" t="s">
        <v>322</v>
      </c>
      <c r="J247" t="s">
        <v>219</v>
      </c>
      <c r="K247" s="2">
        <v>7755332211</v>
      </c>
      <c r="L247" t="s">
        <v>452</v>
      </c>
      <c r="M247" t="s">
        <v>221</v>
      </c>
      <c r="N247" s="4">
        <v>45352</v>
      </c>
      <c r="O247" s="4">
        <v>45376</v>
      </c>
      <c r="P247">
        <f>Procurement[[#This Row],[ Date Delivered ]]-Procurement[[#This Row],[ Date Ordered ]]</f>
        <v>24</v>
      </c>
      <c r="Q247" s="2">
        <v>24</v>
      </c>
      <c r="R247" s="3">
        <v>800</v>
      </c>
      <c r="S247" s="3">
        <v>500</v>
      </c>
      <c r="T247" s="3">
        <f>Procurement[[#This Row],[ Quantity ]]*Procurement[[#This Row],[ Unit Price (USD) ]]</f>
        <v>20000</v>
      </c>
      <c r="U247" s="3">
        <f>Procurement[[#This Row],[Total Procurement Cost]]+Procurement[[#This Row],[ Maintenance Cost (USD/year) ]]+Procurement[[#This Row],[ Installation Cost (USD) ]]</f>
        <v>21300</v>
      </c>
      <c r="V247" t="s">
        <v>47</v>
      </c>
      <c r="W247" t="str">
        <f>IF(Procurement[[#This Row],[Delivery Days]]&gt;0,"Late",IF(Procurement[[#This Row],[Delivery Days]]=0,"On Time","Early"))</f>
        <v>Late</v>
      </c>
      <c r="X247" t="str">
        <f>IF(Procurement[[#This Row],[ Warranty Period (Months) ]]&lt;24,"Short",IF(Procurement[[#This Row],[ Warranty Period (Months) ]]&lt;36,"Medium","Long"))</f>
        <v>Medium</v>
      </c>
    </row>
    <row r="248" spans="1:24" x14ac:dyDescent="0.3">
      <c r="A248" s="2">
        <v>247</v>
      </c>
      <c r="B248" t="s">
        <v>585</v>
      </c>
      <c r="C248" t="s">
        <v>397</v>
      </c>
      <c r="D248" t="s">
        <v>476</v>
      </c>
      <c r="E248" t="s">
        <v>231</v>
      </c>
      <c r="F248" t="s">
        <v>488</v>
      </c>
      <c r="G248" s="2">
        <v>5</v>
      </c>
      <c r="H248" s="3">
        <v>50000</v>
      </c>
      <c r="I248" t="s">
        <v>335</v>
      </c>
      <c r="J248" t="s">
        <v>44</v>
      </c>
      <c r="K248" s="2">
        <v>3322114455</v>
      </c>
      <c r="L248" t="s">
        <v>470</v>
      </c>
      <c r="M248" t="s">
        <v>46</v>
      </c>
      <c r="N248" s="4">
        <v>45366</v>
      </c>
      <c r="O248" s="4">
        <v>45392</v>
      </c>
      <c r="P248">
        <f>Procurement[[#This Row],[ Date Delivered ]]-Procurement[[#This Row],[ Date Ordered ]]</f>
        <v>26</v>
      </c>
      <c r="Q248" s="2">
        <v>36</v>
      </c>
      <c r="R248" s="3">
        <v>1800</v>
      </c>
      <c r="S248" s="3">
        <v>1000</v>
      </c>
      <c r="T248" s="3">
        <f>Procurement[[#This Row],[ Quantity ]]*Procurement[[#This Row],[ Unit Price (USD) ]]</f>
        <v>250000</v>
      </c>
      <c r="U248" s="3">
        <f>Procurement[[#This Row],[Total Procurement Cost]]+Procurement[[#This Row],[ Maintenance Cost (USD/year) ]]+Procurement[[#This Row],[ Installation Cost (USD) ]]</f>
        <v>252800</v>
      </c>
      <c r="V248" t="s">
        <v>47</v>
      </c>
      <c r="W248" t="str">
        <f>IF(Procurement[[#This Row],[Delivery Days]]&gt;0,"Late",IF(Procurement[[#This Row],[Delivery Days]]=0,"On Time","Early"))</f>
        <v>Late</v>
      </c>
      <c r="X248" t="str">
        <f>IF(Procurement[[#This Row],[ Warranty Period (Months) ]]&lt;24,"Short",IF(Procurement[[#This Row],[ Warranty Period (Months) ]]&lt;36,"Medium","Long"))</f>
        <v>Long</v>
      </c>
    </row>
    <row r="249" spans="1:24" x14ac:dyDescent="0.3">
      <c r="A249" s="2">
        <v>248</v>
      </c>
      <c r="B249" t="s">
        <v>586</v>
      </c>
      <c r="C249" t="s">
        <v>207</v>
      </c>
      <c r="D249" t="s">
        <v>587</v>
      </c>
      <c r="E249" t="s">
        <v>114</v>
      </c>
      <c r="F249" t="s">
        <v>477</v>
      </c>
      <c r="G249" s="2">
        <v>2</v>
      </c>
      <c r="H249" s="3">
        <v>40000</v>
      </c>
      <c r="I249" t="s">
        <v>272</v>
      </c>
      <c r="J249" t="s">
        <v>54</v>
      </c>
      <c r="K249" s="2">
        <v>7755332211</v>
      </c>
      <c r="L249" t="s">
        <v>478</v>
      </c>
      <c r="M249" t="s">
        <v>56</v>
      </c>
      <c r="N249" s="4">
        <v>45311</v>
      </c>
      <c r="O249" s="4">
        <v>45337</v>
      </c>
      <c r="P249">
        <f>Procurement[[#This Row],[ Date Delivered ]]-Procurement[[#This Row],[ Date Ordered ]]</f>
        <v>26</v>
      </c>
      <c r="Q249" s="2">
        <v>48</v>
      </c>
      <c r="R249" s="3">
        <v>2000</v>
      </c>
      <c r="S249" s="3">
        <v>1200</v>
      </c>
      <c r="T249" s="3">
        <f>Procurement[[#This Row],[ Quantity ]]*Procurement[[#This Row],[ Unit Price (USD) ]]</f>
        <v>80000</v>
      </c>
      <c r="U249" s="3">
        <f>Procurement[[#This Row],[Total Procurement Cost]]+Procurement[[#This Row],[ Maintenance Cost (USD/year) ]]+Procurement[[#This Row],[ Installation Cost (USD) ]]</f>
        <v>83200</v>
      </c>
      <c r="V249" t="s">
        <v>28</v>
      </c>
      <c r="W249" t="str">
        <f>IF(Procurement[[#This Row],[Delivery Days]]&gt;0,"Late",IF(Procurement[[#This Row],[Delivery Days]]=0,"On Time","Early"))</f>
        <v>Late</v>
      </c>
      <c r="X249" t="str">
        <f>IF(Procurement[[#This Row],[ Warranty Period (Months) ]]&lt;24,"Short",IF(Procurement[[#This Row],[ Warranty Period (Months) ]]&lt;36,"Medium","Long"))</f>
        <v>Long</v>
      </c>
    </row>
    <row r="250" spans="1:24" x14ac:dyDescent="0.3">
      <c r="A250" s="2">
        <v>249</v>
      </c>
      <c r="B250" t="s">
        <v>588</v>
      </c>
      <c r="C250" t="s">
        <v>589</v>
      </c>
      <c r="D250" t="s">
        <v>590</v>
      </c>
      <c r="E250" t="s">
        <v>216</v>
      </c>
      <c r="F250" t="s">
        <v>509</v>
      </c>
      <c r="G250" s="2">
        <v>3</v>
      </c>
      <c r="H250" s="3">
        <v>5000</v>
      </c>
      <c r="I250" t="s">
        <v>322</v>
      </c>
      <c r="J250" t="s">
        <v>219</v>
      </c>
      <c r="K250" s="2">
        <v>7755332211</v>
      </c>
      <c r="L250" t="s">
        <v>452</v>
      </c>
      <c r="M250" t="s">
        <v>221</v>
      </c>
      <c r="N250" s="4">
        <v>45337</v>
      </c>
      <c r="O250" s="4">
        <v>45361</v>
      </c>
      <c r="P250">
        <f>Procurement[[#This Row],[ Date Delivered ]]-Procurement[[#This Row],[ Date Ordered ]]</f>
        <v>24</v>
      </c>
      <c r="Q250" s="2">
        <v>24</v>
      </c>
      <c r="R250" s="3">
        <v>800</v>
      </c>
      <c r="S250" s="3">
        <v>500</v>
      </c>
      <c r="T250" s="3">
        <f>Procurement[[#This Row],[ Quantity ]]*Procurement[[#This Row],[ Unit Price (USD) ]]</f>
        <v>15000</v>
      </c>
      <c r="U250" s="3">
        <f>Procurement[[#This Row],[Total Procurement Cost]]+Procurement[[#This Row],[ Maintenance Cost (USD/year) ]]+Procurement[[#This Row],[ Installation Cost (USD) ]]</f>
        <v>16300</v>
      </c>
      <c r="V250" t="s">
        <v>47</v>
      </c>
      <c r="W250" t="str">
        <f>IF(Procurement[[#This Row],[Delivery Days]]&gt;0,"Late",IF(Procurement[[#This Row],[Delivery Days]]=0,"On Time","Early"))</f>
        <v>Late</v>
      </c>
      <c r="X250" t="str">
        <f>IF(Procurement[[#This Row],[ Warranty Period (Months) ]]&lt;24,"Short",IF(Procurement[[#This Row],[ Warranty Period (Months) ]]&lt;36,"Medium","Long"))</f>
        <v>Medium</v>
      </c>
    </row>
    <row r="251" spans="1:24" x14ac:dyDescent="0.3">
      <c r="A251" s="2">
        <v>250</v>
      </c>
      <c r="B251" t="s">
        <v>591</v>
      </c>
      <c r="C251" t="s">
        <v>592</v>
      </c>
      <c r="D251" t="s">
        <v>550</v>
      </c>
      <c r="E251" t="s">
        <v>238</v>
      </c>
      <c r="F251" t="s">
        <v>518</v>
      </c>
      <c r="G251" s="2">
        <v>7</v>
      </c>
      <c r="H251" s="3">
        <v>80000</v>
      </c>
      <c r="I251" t="s">
        <v>519</v>
      </c>
      <c r="J251" t="s">
        <v>54</v>
      </c>
      <c r="K251" s="2">
        <v>7755332211</v>
      </c>
      <c r="L251" t="s">
        <v>520</v>
      </c>
      <c r="M251" t="s">
        <v>75</v>
      </c>
      <c r="N251" s="4">
        <v>45402</v>
      </c>
      <c r="O251" s="4">
        <v>45427</v>
      </c>
      <c r="P251">
        <f>Procurement[[#This Row],[ Date Delivered ]]-Procurement[[#This Row],[ Date Ordered ]]</f>
        <v>25</v>
      </c>
      <c r="Q251" s="2">
        <v>60</v>
      </c>
      <c r="R251" s="3">
        <v>3000</v>
      </c>
      <c r="S251" s="3">
        <v>2000</v>
      </c>
      <c r="T251" s="3">
        <f>Procurement[[#This Row],[ Quantity ]]*Procurement[[#This Row],[ Unit Price (USD) ]]</f>
        <v>560000</v>
      </c>
      <c r="U251" s="3">
        <f>Procurement[[#This Row],[Total Procurement Cost]]+Procurement[[#This Row],[ Maintenance Cost (USD/year) ]]+Procurement[[#This Row],[ Installation Cost (USD) ]]</f>
        <v>565000</v>
      </c>
      <c r="V251" t="s">
        <v>28</v>
      </c>
      <c r="W251" t="str">
        <f>IF(Procurement[[#This Row],[Delivery Days]]&gt;0,"Late",IF(Procurement[[#This Row],[Delivery Days]]=0,"On Time","Early"))</f>
        <v>Late</v>
      </c>
      <c r="X251" t="str">
        <f>IF(Procurement[[#This Row],[ Warranty Period (Months) ]]&lt;24,"Short",IF(Procurement[[#This Row],[ Warranty Period (Months) ]]&lt;36,"Medium","Long"))</f>
        <v>Long</v>
      </c>
    </row>
    <row r="252" spans="1:24" x14ac:dyDescent="0.3">
      <c r="A252" s="2">
        <v>251</v>
      </c>
      <c r="B252" t="s">
        <v>565</v>
      </c>
      <c r="C252" t="s">
        <v>593</v>
      </c>
      <c r="D252" t="s">
        <v>567</v>
      </c>
      <c r="E252" t="s">
        <v>231</v>
      </c>
      <c r="F252" t="s">
        <v>379</v>
      </c>
      <c r="G252" s="2">
        <v>4</v>
      </c>
      <c r="H252" s="3">
        <v>20000</v>
      </c>
      <c r="I252" t="s">
        <v>380</v>
      </c>
      <c r="J252" t="s">
        <v>44</v>
      </c>
      <c r="K252" s="2">
        <v>3322114455</v>
      </c>
      <c r="L252" t="s">
        <v>466</v>
      </c>
      <c r="M252" t="s">
        <v>46</v>
      </c>
      <c r="N252" s="4">
        <v>45353</v>
      </c>
      <c r="O252" s="4">
        <v>45376</v>
      </c>
      <c r="P252">
        <f>Procurement[[#This Row],[ Date Delivered ]]-Procurement[[#This Row],[ Date Ordered ]]</f>
        <v>23</v>
      </c>
      <c r="Q252" s="2">
        <v>36</v>
      </c>
      <c r="R252" s="3">
        <v>2500</v>
      </c>
      <c r="S252" s="3">
        <v>1500</v>
      </c>
      <c r="T252" s="3">
        <f>Procurement[[#This Row],[ Quantity ]]*Procurement[[#This Row],[ Unit Price (USD) ]]</f>
        <v>80000</v>
      </c>
      <c r="U252" s="3">
        <f>Procurement[[#This Row],[Total Procurement Cost]]+Procurement[[#This Row],[ Maintenance Cost (USD/year) ]]+Procurement[[#This Row],[ Installation Cost (USD) ]]</f>
        <v>84000</v>
      </c>
      <c r="V252" t="s">
        <v>28</v>
      </c>
      <c r="W252" t="str">
        <f>IF(Procurement[[#This Row],[Delivery Days]]&gt;0,"Late",IF(Procurement[[#This Row],[Delivery Days]]=0,"On Time","Early"))</f>
        <v>Late</v>
      </c>
      <c r="X252" t="str">
        <f>IF(Procurement[[#This Row],[ Warranty Period (Months) ]]&lt;24,"Short",IF(Procurement[[#This Row],[ Warranty Period (Months) ]]&lt;36,"Medium","Long"))</f>
        <v>Long</v>
      </c>
    </row>
    <row r="253" spans="1:24" x14ac:dyDescent="0.3">
      <c r="A253" s="2">
        <v>252</v>
      </c>
      <c r="B253" t="s">
        <v>546</v>
      </c>
      <c r="C253" t="s">
        <v>594</v>
      </c>
      <c r="D253" t="s">
        <v>548</v>
      </c>
      <c r="E253" t="s">
        <v>114</v>
      </c>
      <c r="F253" t="s">
        <v>522</v>
      </c>
      <c r="G253" s="2">
        <v>2</v>
      </c>
      <c r="H253" s="3">
        <v>10000</v>
      </c>
      <c r="I253" t="s">
        <v>523</v>
      </c>
      <c r="J253" t="s">
        <v>524</v>
      </c>
      <c r="K253" s="2">
        <v>3322114455</v>
      </c>
      <c r="L253" t="s">
        <v>525</v>
      </c>
      <c r="M253" t="s">
        <v>27</v>
      </c>
      <c r="N253" s="4">
        <v>45369</v>
      </c>
      <c r="O253" s="4">
        <v>45394</v>
      </c>
      <c r="P253">
        <f>Procurement[[#This Row],[ Date Delivered ]]-Procurement[[#This Row],[ Date Ordered ]]</f>
        <v>25</v>
      </c>
      <c r="Q253" s="2">
        <v>36</v>
      </c>
      <c r="R253" s="3">
        <v>1200</v>
      </c>
      <c r="S253" s="3">
        <v>800</v>
      </c>
      <c r="T253" s="3">
        <f>Procurement[[#This Row],[ Quantity ]]*Procurement[[#This Row],[ Unit Price (USD) ]]</f>
        <v>20000</v>
      </c>
      <c r="U253" s="3">
        <f>Procurement[[#This Row],[Total Procurement Cost]]+Procurement[[#This Row],[ Maintenance Cost (USD/year) ]]+Procurement[[#This Row],[ Installation Cost (USD) ]]</f>
        <v>22000</v>
      </c>
      <c r="V253" t="s">
        <v>28</v>
      </c>
      <c r="W253" t="str">
        <f>IF(Procurement[[#This Row],[Delivery Days]]&gt;0,"Late",IF(Procurement[[#This Row],[Delivery Days]]=0,"On Time","Early"))</f>
        <v>Late</v>
      </c>
      <c r="X253" t="str">
        <f>IF(Procurement[[#This Row],[ Warranty Period (Months) ]]&lt;24,"Short",IF(Procurement[[#This Row],[ Warranty Period (Months) ]]&lt;36,"Medium","Long"))</f>
        <v>Long</v>
      </c>
    </row>
    <row r="254" spans="1:24" x14ac:dyDescent="0.3">
      <c r="A254" s="2">
        <v>253</v>
      </c>
      <c r="B254" t="s">
        <v>595</v>
      </c>
      <c r="C254" t="s">
        <v>583</v>
      </c>
      <c r="D254" t="s">
        <v>596</v>
      </c>
      <c r="E254" t="s">
        <v>238</v>
      </c>
      <c r="F254" t="s">
        <v>400</v>
      </c>
      <c r="G254" s="2">
        <v>3</v>
      </c>
      <c r="H254" s="3">
        <v>30000</v>
      </c>
      <c r="I254" t="s">
        <v>401</v>
      </c>
      <c r="J254" t="s">
        <v>91</v>
      </c>
      <c r="K254" s="2">
        <v>6677889900</v>
      </c>
      <c r="L254" t="s">
        <v>474</v>
      </c>
      <c r="M254" t="s">
        <v>93</v>
      </c>
      <c r="N254" s="4">
        <v>45332</v>
      </c>
      <c r="O254" s="4">
        <v>45356</v>
      </c>
      <c r="P254">
        <f>Procurement[[#This Row],[ Date Delivered ]]-Procurement[[#This Row],[ Date Ordered ]]</f>
        <v>24</v>
      </c>
      <c r="Q254" s="2">
        <v>36</v>
      </c>
      <c r="R254" s="3">
        <v>1500</v>
      </c>
      <c r="S254" s="3">
        <v>800</v>
      </c>
      <c r="T254" s="3">
        <f>Procurement[[#This Row],[ Quantity ]]*Procurement[[#This Row],[ Unit Price (USD) ]]</f>
        <v>90000</v>
      </c>
      <c r="U254" s="3">
        <f>Procurement[[#This Row],[Total Procurement Cost]]+Procurement[[#This Row],[ Maintenance Cost (USD/year) ]]+Procurement[[#This Row],[ Installation Cost (USD) ]]</f>
        <v>92300</v>
      </c>
      <c r="V254" t="s">
        <v>57</v>
      </c>
      <c r="W254" t="str">
        <f>IF(Procurement[[#This Row],[Delivery Days]]&gt;0,"Late",IF(Procurement[[#This Row],[Delivery Days]]=0,"On Time","Early"))</f>
        <v>Late</v>
      </c>
      <c r="X254" t="str">
        <f>IF(Procurement[[#This Row],[ Warranty Period (Months) ]]&lt;24,"Short",IF(Procurement[[#This Row],[ Warranty Period (Months) ]]&lt;36,"Medium","Long"))</f>
        <v>Long</v>
      </c>
    </row>
    <row r="255" spans="1:24" x14ac:dyDescent="0.3">
      <c r="A255" s="2">
        <v>254</v>
      </c>
      <c r="B255" t="s">
        <v>561</v>
      </c>
      <c r="C255" t="s">
        <v>179</v>
      </c>
      <c r="D255" t="s">
        <v>562</v>
      </c>
      <c r="E255" t="s">
        <v>231</v>
      </c>
      <c r="F255" t="s">
        <v>488</v>
      </c>
      <c r="G255" s="2">
        <v>4</v>
      </c>
      <c r="H255" s="3">
        <v>50000</v>
      </c>
      <c r="I255" t="s">
        <v>335</v>
      </c>
      <c r="J255" t="s">
        <v>44</v>
      </c>
      <c r="K255" s="2">
        <v>3322114455</v>
      </c>
      <c r="L255" t="s">
        <v>470</v>
      </c>
      <c r="M255" t="s">
        <v>46</v>
      </c>
      <c r="N255" s="4">
        <v>45356</v>
      </c>
      <c r="O255" s="4">
        <v>45379</v>
      </c>
      <c r="P255">
        <f>Procurement[[#This Row],[ Date Delivered ]]-Procurement[[#This Row],[ Date Ordered ]]</f>
        <v>23</v>
      </c>
      <c r="Q255" s="2">
        <v>36</v>
      </c>
      <c r="R255" s="3">
        <v>1800</v>
      </c>
      <c r="S255" s="3">
        <v>1000</v>
      </c>
      <c r="T255" s="3">
        <f>Procurement[[#This Row],[ Quantity ]]*Procurement[[#This Row],[ Unit Price (USD) ]]</f>
        <v>200000</v>
      </c>
      <c r="U255" s="3">
        <f>Procurement[[#This Row],[Total Procurement Cost]]+Procurement[[#This Row],[ Maintenance Cost (USD/year) ]]+Procurement[[#This Row],[ Installation Cost (USD) ]]</f>
        <v>202800</v>
      </c>
      <c r="V255" t="s">
        <v>47</v>
      </c>
      <c r="W255" t="str">
        <f>IF(Procurement[[#This Row],[Delivery Days]]&gt;0,"Late",IF(Procurement[[#This Row],[Delivery Days]]=0,"On Time","Early"))</f>
        <v>Late</v>
      </c>
      <c r="X255" t="str">
        <f>IF(Procurement[[#This Row],[ Warranty Period (Months) ]]&lt;24,"Short",IF(Procurement[[#This Row],[ Warranty Period (Months) ]]&lt;36,"Medium","Long"))</f>
        <v>Long</v>
      </c>
    </row>
    <row r="256" spans="1:24" x14ac:dyDescent="0.3">
      <c r="A256" s="2">
        <v>255</v>
      </c>
      <c r="B256" t="s">
        <v>521</v>
      </c>
      <c r="C256" t="s">
        <v>597</v>
      </c>
      <c r="D256" t="s">
        <v>493</v>
      </c>
      <c r="E256" t="s">
        <v>216</v>
      </c>
      <c r="F256" t="s">
        <v>494</v>
      </c>
      <c r="G256" s="2">
        <v>5</v>
      </c>
      <c r="H256" s="3">
        <v>5000</v>
      </c>
      <c r="I256" t="s">
        <v>322</v>
      </c>
      <c r="J256" t="s">
        <v>219</v>
      </c>
      <c r="K256" s="2">
        <v>7755332211</v>
      </c>
      <c r="L256" t="s">
        <v>452</v>
      </c>
      <c r="M256" t="s">
        <v>221</v>
      </c>
      <c r="N256" s="4">
        <v>45350</v>
      </c>
      <c r="O256" s="4">
        <v>45376</v>
      </c>
      <c r="P256">
        <f>Procurement[[#This Row],[ Date Delivered ]]-Procurement[[#This Row],[ Date Ordered ]]</f>
        <v>26</v>
      </c>
      <c r="Q256" s="2">
        <v>24</v>
      </c>
      <c r="R256" s="3">
        <v>800</v>
      </c>
      <c r="S256" s="3">
        <v>500</v>
      </c>
      <c r="T256" s="3">
        <f>Procurement[[#This Row],[ Quantity ]]*Procurement[[#This Row],[ Unit Price (USD) ]]</f>
        <v>25000</v>
      </c>
      <c r="U256" s="3">
        <f>Procurement[[#This Row],[Total Procurement Cost]]+Procurement[[#This Row],[ Maintenance Cost (USD/year) ]]+Procurement[[#This Row],[ Installation Cost (USD) ]]</f>
        <v>26300</v>
      </c>
      <c r="V256" t="s">
        <v>47</v>
      </c>
      <c r="W256" t="str">
        <f>IF(Procurement[[#This Row],[Delivery Days]]&gt;0,"Late",IF(Procurement[[#This Row],[Delivery Days]]=0,"On Time","Early"))</f>
        <v>Late</v>
      </c>
      <c r="X256" t="str">
        <f>IF(Procurement[[#This Row],[ Warranty Period (Months) ]]&lt;24,"Short",IF(Procurement[[#This Row],[ Warranty Period (Months) ]]&lt;36,"Medium","Long"))</f>
        <v>Medium</v>
      </c>
    </row>
    <row r="257" spans="1:24" x14ac:dyDescent="0.3">
      <c r="A257" s="2">
        <v>256</v>
      </c>
      <c r="B257" t="s">
        <v>579</v>
      </c>
      <c r="C257" t="s">
        <v>580</v>
      </c>
      <c r="D257" t="s">
        <v>581</v>
      </c>
      <c r="E257" t="s">
        <v>114</v>
      </c>
      <c r="F257" t="s">
        <v>477</v>
      </c>
      <c r="G257" s="2">
        <v>3</v>
      </c>
      <c r="H257" s="3">
        <v>40000</v>
      </c>
      <c r="I257" t="s">
        <v>272</v>
      </c>
      <c r="J257" t="s">
        <v>54</v>
      </c>
      <c r="K257" s="2">
        <v>7755332211</v>
      </c>
      <c r="L257" t="s">
        <v>478</v>
      </c>
      <c r="M257" t="s">
        <v>56</v>
      </c>
      <c r="N257" s="4">
        <v>45311</v>
      </c>
      <c r="O257" s="4">
        <v>45337</v>
      </c>
      <c r="P257">
        <f>Procurement[[#This Row],[ Date Delivered ]]-Procurement[[#This Row],[ Date Ordered ]]</f>
        <v>26</v>
      </c>
      <c r="Q257" s="2">
        <v>48</v>
      </c>
      <c r="R257" s="3">
        <v>2000</v>
      </c>
      <c r="S257" s="3">
        <v>1200</v>
      </c>
      <c r="T257" s="3">
        <f>Procurement[[#This Row],[ Quantity ]]*Procurement[[#This Row],[ Unit Price (USD) ]]</f>
        <v>120000</v>
      </c>
      <c r="U257" s="3">
        <f>Procurement[[#This Row],[Total Procurement Cost]]+Procurement[[#This Row],[ Maintenance Cost (USD/year) ]]+Procurement[[#This Row],[ Installation Cost (USD) ]]</f>
        <v>123200</v>
      </c>
      <c r="V257" t="s">
        <v>28</v>
      </c>
      <c r="W257" t="str">
        <f>IF(Procurement[[#This Row],[Delivery Days]]&gt;0,"Late",IF(Procurement[[#This Row],[Delivery Days]]=0,"On Time","Early"))</f>
        <v>Late</v>
      </c>
      <c r="X257" t="str">
        <f>IF(Procurement[[#This Row],[ Warranty Period (Months) ]]&lt;24,"Short",IF(Procurement[[#This Row],[ Warranty Period (Months) ]]&lt;36,"Medium","Long"))</f>
        <v>Long</v>
      </c>
    </row>
    <row r="258" spans="1:24" x14ac:dyDescent="0.3">
      <c r="A258" s="2">
        <v>257</v>
      </c>
      <c r="B258" t="s">
        <v>582</v>
      </c>
      <c r="C258" t="s">
        <v>583</v>
      </c>
      <c r="D258" t="s">
        <v>584</v>
      </c>
      <c r="E258" t="s">
        <v>216</v>
      </c>
      <c r="F258" t="s">
        <v>509</v>
      </c>
      <c r="G258" s="2">
        <v>4</v>
      </c>
      <c r="H258" s="3">
        <v>5000</v>
      </c>
      <c r="I258" t="s">
        <v>322</v>
      </c>
      <c r="J258" t="s">
        <v>219</v>
      </c>
      <c r="K258" s="2">
        <v>7755332211</v>
      </c>
      <c r="L258" t="s">
        <v>452</v>
      </c>
      <c r="M258" t="s">
        <v>221</v>
      </c>
      <c r="N258" s="4">
        <v>45337</v>
      </c>
      <c r="O258" s="4">
        <v>45361</v>
      </c>
      <c r="P258">
        <f>Procurement[[#This Row],[ Date Delivered ]]-Procurement[[#This Row],[ Date Ordered ]]</f>
        <v>24</v>
      </c>
      <c r="Q258" s="2">
        <v>24</v>
      </c>
      <c r="R258" s="3">
        <v>800</v>
      </c>
      <c r="S258" s="3">
        <v>500</v>
      </c>
      <c r="T258" s="3">
        <f>Procurement[[#This Row],[ Quantity ]]*Procurement[[#This Row],[ Unit Price (USD) ]]</f>
        <v>20000</v>
      </c>
      <c r="U258" s="3">
        <f>Procurement[[#This Row],[Total Procurement Cost]]+Procurement[[#This Row],[ Maintenance Cost (USD/year) ]]+Procurement[[#This Row],[ Installation Cost (USD) ]]</f>
        <v>21300</v>
      </c>
      <c r="V258" t="s">
        <v>47</v>
      </c>
      <c r="W258" t="str">
        <f>IF(Procurement[[#This Row],[Delivery Days]]&gt;0,"Late",IF(Procurement[[#This Row],[Delivery Days]]=0,"On Time","Early"))</f>
        <v>Late</v>
      </c>
      <c r="X258" t="str">
        <f>IF(Procurement[[#This Row],[ Warranty Period (Months) ]]&lt;24,"Short",IF(Procurement[[#This Row],[ Warranty Period (Months) ]]&lt;36,"Medium","Long"))</f>
        <v>Medium</v>
      </c>
    </row>
    <row r="259" spans="1:24" x14ac:dyDescent="0.3">
      <c r="A259" s="2">
        <v>258</v>
      </c>
      <c r="B259" t="s">
        <v>585</v>
      </c>
      <c r="C259" t="s">
        <v>397</v>
      </c>
      <c r="D259" t="s">
        <v>476</v>
      </c>
      <c r="E259" t="s">
        <v>238</v>
      </c>
      <c r="F259" t="s">
        <v>518</v>
      </c>
      <c r="G259" s="2">
        <v>7</v>
      </c>
      <c r="H259" s="3">
        <v>80000</v>
      </c>
      <c r="I259" t="s">
        <v>519</v>
      </c>
      <c r="J259" t="s">
        <v>54</v>
      </c>
      <c r="K259" s="2">
        <v>7755332211</v>
      </c>
      <c r="L259" t="s">
        <v>520</v>
      </c>
      <c r="M259" t="s">
        <v>75</v>
      </c>
      <c r="N259" s="4">
        <v>45402</v>
      </c>
      <c r="O259" s="4">
        <v>45427</v>
      </c>
      <c r="P259">
        <f>Procurement[[#This Row],[ Date Delivered ]]-Procurement[[#This Row],[ Date Ordered ]]</f>
        <v>25</v>
      </c>
      <c r="Q259" s="2">
        <v>60</v>
      </c>
      <c r="R259" s="3">
        <v>3000</v>
      </c>
      <c r="S259" s="3">
        <v>2000</v>
      </c>
      <c r="T259" s="3">
        <f>Procurement[[#This Row],[ Quantity ]]*Procurement[[#This Row],[ Unit Price (USD) ]]</f>
        <v>560000</v>
      </c>
      <c r="U259" s="3">
        <f>Procurement[[#This Row],[Total Procurement Cost]]+Procurement[[#This Row],[ Maintenance Cost (USD/year) ]]+Procurement[[#This Row],[ Installation Cost (USD) ]]</f>
        <v>565000</v>
      </c>
      <c r="V259" t="s">
        <v>28</v>
      </c>
      <c r="W259" t="str">
        <f>IF(Procurement[[#This Row],[Delivery Days]]&gt;0,"Late",IF(Procurement[[#This Row],[Delivery Days]]=0,"On Time","Early"))</f>
        <v>Late</v>
      </c>
      <c r="X259" t="str">
        <f>IF(Procurement[[#This Row],[ Warranty Period (Months) ]]&lt;24,"Short",IF(Procurement[[#This Row],[ Warranty Period (Months) ]]&lt;36,"Medium","Long"))</f>
        <v>Long</v>
      </c>
    </row>
    <row r="260" spans="1:24" x14ac:dyDescent="0.3">
      <c r="A260" s="2">
        <v>259</v>
      </c>
      <c r="B260" t="s">
        <v>586</v>
      </c>
      <c r="C260" t="s">
        <v>207</v>
      </c>
      <c r="D260" t="s">
        <v>587</v>
      </c>
      <c r="E260" t="s">
        <v>231</v>
      </c>
      <c r="F260" t="s">
        <v>379</v>
      </c>
      <c r="G260" s="2">
        <v>2</v>
      </c>
      <c r="H260" s="3">
        <v>20000</v>
      </c>
      <c r="I260" t="s">
        <v>380</v>
      </c>
      <c r="J260" t="s">
        <v>44</v>
      </c>
      <c r="K260" s="2">
        <v>3322114455</v>
      </c>
      <c r="L260" t="s">
        <v>466</v>
      </c>
      <c r="M260" t="s">
        <v>46</v>
      </c>
      <c r="N260" s="4">
        <v>45353</v>
      </c>
      <c r="O260" s="4">
        <v>45376</v>
      </c>
      <c r="P260">
        <f>Procurement[[#This Row],[ Date Delivered ]]-Procurement[[#This Row],[ Date Ordered ]]</f>
        <v>23</v>
      </c>
      <c r="Q260" s="2">
        <v>36</v>
      </c>
      <c r="R260" s="3">
        <v>2500</v>
      </c>
      <c r="S260" s="3">
        <v>1500</v>
      </c>
      <c r="T260" s="3">
        <f>Procurement[[#This Row],[ Quantity ]]*Procurement[[#This Row],[ Unit Price (USD) ]]</f>
        <v>40000</v>
      </c>
      <c r="U260" s="3">
        <f>Procurement[[#This Row],[Total Procurement Cost]]+Procurement[[#This Row],[ Maintenance Cost (USD/year) ]]+Procurement[[#This Row],[ Installation Cost (USD) ]]</f>
        <v>44000</v>
      </c>
      <c r="V260" t="s">
        <v>28</v>
      </c>
      <c r="W260" t="str">
        <f>IF(Procurement[[#This Row],[Delivery Days]]&gt;0,"Late",IF(Procurement[[#This Row],[Delivery Days]]=0,"On Time","Early"))</f>
        <v>Late</v>
      </c>
      <c r="X260" t="str">
        <f>IF(Procurement[[#This Row],[ Warranty Period (Months) ]]&lt;24,"Short",IF(Procurement[[#This Row],[ Warranty Period (Months) ]]&lt;36,"Medium","Long"))</f>
        <v>Long</v>
      </c>
    </row>
    <row r="261" spans="1:24" x14ac:dyDescent="0.3">
      <c r="A261" s="2">
        <v>260</v>
      </c>
      <c r="B261" t="s">
        <v>588</v>
      </c>
      <c r="C261" t="s">
        <v>589</v>
      </c>
      <c r="D261" t="s">
        <v>590</v>
      </c>
      <c r="E261" t="s">
        <v>114</v>
      </c>
      <c r="F261" t="s">
        <v>522</v>
      </c>
      <c r="G261" s="2">
        <v>3</v>
      </c>
      <c r="H261" s="3">
        <v>10000</v>
      </c>
      <c r="I261" t="s">
        <v>523</v>
      </c>
      <c r="J261" t="s">
        <v>524</v>
      </c>
      <c r="K261" s="2">
        <v>3322114455</v>
      </c>
      <c r="L261" t="s">
        <v>525</v>
      </c>
      <c r="M261" t="s">
        <v>27</v>
      </c>
      <c r="N261" s="4">
        <v>45369</v>
      </c>
      <c r="O261" s="4">
        <v>45394</v>
      </c>
      <c r="P261">
        <f>Procurement[[#This Row],[ Date Delivered ]]-Procurement[[#This Row],[ Date Ordered ]]</f>
        <v>25</v>
      </c>
      <c r="Q261" s="2">
        <v>36</v>
      </c>
      <c r="R261" s="3">
        <v>1200</v>
      </c>
      <c r="S261" s="3">
        <v>800</v>
      </c>
      <c r="T261" s="3">
        <f>Procurement[[#This Row],[ Quantity ]]*Procurement[[#This Row],[ Unit Price (USD) ]]</f>
        <v>30000</v>
      </c>
      <c r="U261" s="3">
        <f>Procurement[[#This Row],[Total Procurement Cost]]+Procurement[[#This Row],[ Maintenance Cost (USD/year) ]]+Procurement[[#This Row],[ Installation Cost (USD) ]]</f>
        <v>32000</v>
      </c>
      <c r="V261" t="s">
        <v>28</v>
      </c>
      <c r="W261" t="str">
        <f>IF(Procurement[[#This Row],[Delivery Days]]&gt;0,"Late",IF(Procurement[[#This Row],[Delivery Days]]=0,"On Time","Early"))</f>
        <v>Late</v>
      </c>
      <c r="X261" t="str">
        <f>IF(Procurement[[#This Row],[ Warranty Period (Months) ]]&lt;24,"Short",IF(Procurement[[#This Row],[ Warranty Period (Months) ]]&lt;36,"Medium","Long"))</f>
        <v>Long</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2"/>
  <sheetViews>
    <sheetView workbookViewId="0">
      <selection activeCell="B13" sqref="B13"/>
    </sheetView>
  </sheetViews>
  <sheetFormatPr defaultRowHeight="14.4" x14ac:dyDescent="0.3"/>
  <cols>
    <col min="1" max="1" width="17.6640625" customWidth="1"/>
    <col min="2" max="2" width="14.6640625" bestFit="1" customWidth="1"/>
  </cols>
  <sheetData>
    <row r="1" spans="1:2" s="6" customFormat="1" x14ac:dyDescent="0.3">
      <c r="A1" s="8" t="s">
        <v>616</v>
      </c>
      <c r="B1" s="7"/>
    </row>
    <row r="2" spans="1:2" x14ac:dyDescent="0.3">
      <c r="A2" t="s">
        <v>603</v>
      </c>
      <c r="B2">
        <f>COLUMNS(Procurement[])</f>
        <v>24</v>
      </c>
    </row>
    <row r="3" spans="1:2" x14ac:dyDescent="0.3">
      <c r="A3" t="s">
        <v>604</v>
      </c>
      <c r="B3">
        <f>ROWS(Procurement[])</f>
        <v>260</v>
      </c>
    </row>
    <row r="4" spans="1:2" x14ac:dyDescent="0.3">
      <c r="A4" t="s">
        <v>613</v>
      </c>
      <c r="B4">
        <f>COUNT(Procurement[])</f>
        <v>3120</v>
      </c>
    </row>
    <row r="5" spans="1:2" x14ac:dyDescent="0.3">
      <c r="A5" t="s">
        <v>614</v>
      </c>
      <c r="B5">
        <f>COUNTA(Procurement[])</f>
        <v>6240</v>
      </c>
    </row>
    <row r="6" spans="1:2" x14ac:dyDescent="0.3">
      <c r="A6" t="s">
        <v>605</v>
      </c>
      <c r="B6" s="5">
        <f>SUM(Procurement[Total Procurement Cost])</f>
        <v>20910500</v>
      </c>
    </row>
    <row r="7" spans="1:2" x14ac:dyDescent="0.3">
      <c r="A7" t="s">
        <v>606</v>
      </c>
      <c r="B7">
        <f>SUM(Procurement[ [ Quantity ] ])</f>
        <v>612</v>
      </c>
    </row>
    <row r="8" spans="1:2" x14ac:dyDescent="0.3">
      <c r="A8" t="s">
        <v>607</v>
      </c>
      <c r="B8">
        <f>COUNTA(Procurement[ [ Hospital        ] ])</f>
        <v>260</v>
      </c>
    </row>
    <row r="9" spans="1:2" x14ac:dyDescent="0.3">
      <c r="A9" t="s">
        <v>608</v>
      </c>
      <c r="B9">
        <f>COUNTA(Procurement[ [ Supplier       ] ])</f>
        <v>260</v>
      </c>
    </row>
    <row r="10" spans="1:2" x14ac:dyDescent="0.3">
      <c r="A10" t="s">
        <v>609</v>
      </c>
      <c r="B10" s="5" t="e">
        <f>SUM(Procurement #REF!   )</f>
        <v>#NAME?</v>
      </c>
    </row>
    <row r="11" spans="1:2" x14ac:dyDescent="0.3">
      <c r="A11" t="s">
        <v>610</v>
      </c>
      <c r="B11" s="5" t="e">
        <f>SUM(Procurement #REF!    )</f>
        <v>#NAME?</v>
      </c>
    </row>
    <row r="12" spans="1:2" x14ac:dyDescent="0.3">
      <c r="A12" t="s">
        <v>611</v>
      </c>
      <c r="B12" t="e">
        <f>AVERAGE(Procurement #REF!    )</f>
        <v>#NAME?</v>
      </c>
    </row>
    <row r="13" spans="1:2" x14ac:dyDescent="0.3">
      <c r="A13" t="s">
        <v>612</v>
      </c>
      <c r="B13">
        <f>COUNTA(Procurement[ [ Equipment     ] ])</f>
        <v>260</v>
      </c>
    </row>
    <row r="14" spans="1:2" x14ac:dyDescent="0.3">
      <c r="A14" t="s">
        <v>734</v>
      </c>
      <c r="B14" s="1">
        <f>AVERAGE(Procurement[Delivery Days])</f>
        <v>25.296153846153846</v>
      </c>
    </row>
    <row r="15" spans="1:2" x14ac:dyDescent="0.3">
      <c r="A15" t="s">
        <v>735</v>
      </c>
      <c r="B15" s="1">
        <f>SUM(Procurement[ [ Quantity ] ])</f>
        <v>612</v>
      </c>
    </row>
    <row r="16" spans="1:2" x14ac:dyDescent="0.3">
      <c r="A16" s="10" t="s">
        <v>615</v>
      </c>
      <c r="B16" s="9"/>
    </row>
    <row r="17" spans="1:2" x14ac:dyDescent="0.3">
      <c r="A17" t="s">
        <v>622</v>
      </c>
    </row>
    <row r="18" spans="1:2" x14ac:dyDescent="0.3">
      <c r="A18" t="s">
        <v>623</v>
      </c>
    </row>
    <row r="19" spans="1:2" x14ac:dyDescent="0.3">
      <c r="A19" t="s">
        <v>624</v>
      </c>
    </row>
    <row r="20" spans="1:2" x14ac:dyDescent="0.3">
      <c r="A20" t="s">
        <v>625</v>
      </c>
    </row>
    <row r="21" spans="1:2" x14ac:dyDescent="0.3">
      <c r="A21" t="s">
        <v>626</v>
      </c>
    </row>
    <row r="26" spans="1:2" x14ac:dyDescent="0.3">
      <c r="A26" s="10" t="s">
        <v>619</v>
      </c>
      <c r="B26" s="9"/>
    </row>
    <row r="27" spans="1:2" x14ac:dyDescent="0.3">
      <c r="A27" s="11" t="s">
        <v>617</v>
      </c>
    </row>
    <row r="28" spans="1:2" x14ac:dyDescent="0.3">
      <c r="A28" s="11" t="s">
        <v>618</v>
      </c>
    </row>
    <row r="31" spans="1:2" x14ac:dyDescent="0.3">
      <c r="A31" s="10" t="s">
        <v>620</v>
      </c>
      <c r="B31" s="9"/>
    </row>
    <row r="32" spans="1:2" x14ac:dyDescent="0.3">
      <c r="A32" s="11" t="s">
        <v>621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6"/>
  <sheetViews>
    <sheetView topLeftCell="A281" workbookViewId="0">
      <selection activeCell="B291" sqref="B291"/>
    </sheetView>
  </sheetViews>
  <sheetFormatPr defaultRowHeight="14.4" x14ac:dyDescent="0.3"/>
  <cols>
    <col min="1" max="1" width="12.5546875" customWidth="1"/>
    <col min="2" max="2" width="15.77734375" customWidth="1"/>
    <col min="3" max="3" width="11.5546875" bestFit="1" customWidth="1"/>
    <col min="4" max="4" width="11.77734375" bestFit="1" customWidth="1"/>
    <col min="5" max="5" width="10.77734375" customWidth="1"/>
    <col min="6" max="6" width="10.77734375" bestFit="1" customWidth="1"/>
  </cols>
  <sheetData>
    <row r="1" spans="1:1" x14ac:dyDescent="0.3">
      <c r="A1" t="s">
        <v>599</v>
      </c>
    </row>
    <row r="2" spans="1:1" x14ac:dyDescent="0.3">
      <c r="A2" s="12">
        <v>20910500</v>
      </c>
    </row>
    <row r="9" spans="1:1" x14ac:dyDescent="0.3">
      <c r="A9" t="s">
        <v>628</v>
      </c>
    </row>
    <row r="10" spans="1:1" x14ac:dyDescent="0.3">
      <c r="A10" s="2">
        <v>612</v>
      </c>
    </row>
    <row r="15" spans="1:1" x14ac:dyDescent="0.3">
      <c r="A15" t="s">
        <v>607</v>
      </c>
    </row>
    <row r="16" spans="1:1" x14ac:dyDescent="0.3">
      <c r="A16" s="2">
        <v>260</v>
      </c>
    </row>
    <row r="21" spans="1:1" x14ac:dyDescent="0.3">
      <c r="A21" t="s">
        <v>608</v>
      </c>
    </row>
    <row r="22" spans="1:1" x14ac:dyDescent="0.3">
      <c r="A22" s="2">
        <v>260</v>
      </c>
    </row>
    <row r="29" spans="1:1" x14ac:dyDescent="0.3">
      <c r="A29" t="s">
        <v>631</v>
      </c>
    </row>
    <row r="30" spans="1:1" x14ac:dyDescent="0.3">
      <c r="A30" s="12">
        <v>462600</v>
      </c>
    </row>
    <row r="38" spans="1:1" x14ac:dyDescent="0.3">
      <c r="A38" t="s">
        <v>633</v>
      </c>
    </row>
    <row r="39" spans="1:1" x14ac:dyDescent="0.3">
      <c r="A39" s="12">
        <v>275700</v>
      </c>
    </row>
    <row r="47" spans="1:1" x14ac:dyDescent="0.3">
      <c r="A47" t="s">
        <v>634</v>
      </c>
    </row>
    <row r="48" spans="1:1" x14ac:dyDescent="0.3">
      <c r="A48" s="2">
        <v>36</v>
      </c>
    </row>
    <row r="58" spans="1:1" x14ac:dyDescent="0.3">
      <c r="A58" t="s">
        <v>636</v>
      </c>
    </row>
    <row r="59" spans="1:1" x14ac:dyDescent="0.3">
      <c r="A59" s="2">
        <v>260</v>
      </c>
    </row>
    <row r="72" spans="1:2" x14ac:dyDescent="0.3">
      <c r="A72" t="s">
        <v>653</v>
      </c>
    </row>
    <row r="73" spans="1:2" x14ac:dyDescent="0.3">
      <c r="A73" s="13" t="s">
        <v>637</v>
      </c>
      <c r="B73" t="s">
        <v>627</v>
      </c>
    </row>
    <row r="74" spans="1:2" x14ac:dyDescent="0.3">
      <c r="A74" s="14" t="s">
        <v>648</v>
      </c>
      <c r="B74" s="12">
        <v>1815000</v>
      </c>
    </row>
    <row r="75" spans="1:2" x14ac:dyDescent="0.3">
      <c r="A75" s="14" t="s">
        <v>651</v>
      </c>
      <c r="B75" s="12">
        <v>1434000</v>
      </c>
    </row>
    <row r="76" spans="1:2" x14ac:dyDescent="0.3">
      <c r="A76" s="14" t="s">
        <v>641</v>
      </c>
      <c r="B76" s="12">
        <v>1335000</v>
      </c>
    </row>
    <row r="77" spans="1:2" x14ac:dyDescent="0.3">
      <c r="A77" s="14" t="s">
        <v>640</v>
      </c>
      <c r="B77" s="12">
        <v>1274000</v>
      </c>
    </row>
    <row r="78" spans="1:2" x14ac:dyDescent="0.3">
      <c r="A78" s="14" t="s">
        <v>643</v>
      </c>
      <c r="B78" s="12">
        <v>1230000</v>
      </c>
    </row>
    <row r="79" spans="1:2" x14ac:dyDescent="0.3">
      <c r="A79" s="14" t="s">
        <v>638</v>
      </c>
      <c r="B79" s="12">
        <v>1140000</v>
      </c>
    </row>
    <row r="80" spans="1:2" x14ac:dyDescent="0.3">
      <c r="A80" s="14" t="s">
        <v>646</v>
      </c>
      <c r="B80" s="12">
        <v>1110000</v>
      </c>
    </row>
    <row r="81" spans="1:2" x14ac:dyDescent="0.3">
      <c r="A81" s="14" t="s">
        <v>642</v>
      </c>
      <c r="B81" s="12">
        <v>765000</v>
      </c>
    </row>
    <row r="82" spans="1:2" x14ac:dyDescent="0.3">
      <c r="A82" s="14" t="s">
        <v>650</v>
      </c>
      <c r="B82" s="12">
        <v>765000</v>
      </c>
    </row>
    <row r="83" spans="1:2" x14ac:dyDescent="0.3">
      <c r="A83" s="14" t="s">
        <v>462</v>
      </c>
      <c r="B83" s="12">
        <v>630000</v>
      </c>
    </row>
    <row r="84" spans="1:2" x14ac:dyDescent="0.3">
      <c r="A84" s="14" t="s">
        <v>639</v>
      </c>
      <c r="B84" s="12">
        <v>615000</v>
      </c>
    </row>
    <row r="85" spans="1:2" x14ac:dyDescent="0.3">
      <c r="A85" s="14" t="s">
        <v>645</v>
      </c>
      <c r="B85" s="12">
        <v>615000</v>
      </c>
    </row>
    <row r="86" spans="1:2" x14ac:dyDescent="0.3">
      <c r="A86" s="14" t="s">
        <v>644</v>
      </c>
      <c r="B86" s="12">
        <v>526000</v>
      </c>
    </row>
    <row r="87" spans="1:2" x14ac:dyDescent="0.3">
      <c r="A87" s="14" t="s">
        <v>647</v>
      </c>
      <c r="B87" s="12">
        <v>514000</v>
      </c>
    </row>
    <row r="88" spans="1:2" x14ac:dyDescent="0.3">
      <c r="A88" s="14" t="s">
        <v>649</v>
      </c>
      <c r="B88" s="12">
        <v>463000</v>
      </c>
    </row>
    <row r="89" spans="1:2" x14ac:dyDescent="0.3">
      <c r="A89" s="14" t="s">
        <v>652</v>
      </c>
      <c r="B89" s="12">
        <v>14231000</v>
      </c>
    </row>
    <row r="111" spans="1:2" x14ac:dyDescent="0.3">
      <c r="A111" s="14" t="s">
        <v>654</v>
      </c>
    </row>
    <row r="112" spans="1:2" x14ac:dyDescent="0.3">
      <c r="A112" s="13" t="s">
        <v>635</v>
      </c>
      <c r="B112" s="13" t="s">
        <v>660</v>
      </c>
    </row>
    <row r="113" spans="1:5" x14ac:dyDescent="0.3">
      <c r="A113" s="13" t="s">
        <v>637</v>
      </c>
      <c r="B113" t="s">
        <v>661</v>
      </c>
      <c r="C113" t="s">
        <v>662</v>
      </c>
      <c r="D113" t="s">
        <v>664</v>
      </c>
      <c r="E113" t="s">
        <v>652</v>
      </c>
    </row>
    <row r="114" spans="1:5" x14ac:dyDescent="0.3">
      <c r="A114" s="14" t="s">
        <v>655</v>
      </c>
      <c r="B114" s="2">
        <v>35</v>
      </c>
      <c r="C114" s="2">
        <v>1</v>
      </c>
      <c r="D114" s="2"/>
      <c r="E114" s="2">
        <v>36</v>
      </c>
    </row>
    <row r="115" spans="1:5" x14ac:dyDescent="0.3">
      <c r="A115" s="14" t="s">
        <v>656</v>
      </c>
      <c r="B115" s="2">
        <v>3</v>
      </c>
      <c r="C115" s="2">
        <v>6</v>
      </c>
      <c r="D115" s="2"/>
      <c r="E115" s="2">
        <v>9</v>
      </c>
    </row>
    <row r="116" spans="1:5" x14ac:dyDescent="0.3">
      <c r="A116" s="14" t="s">
        <v>657</v>
      </c>
      <c r="B116" s="2"/>
      <c r="C116" s="2">
        <v>2</v>
      </c>
      <c r="D116" s="2">
        <v>60</v>
      </c>
      <c r="E116" s="2">
        <v>62</v>
      </c>
    </row>
    <row r="117" spans="1:5" x14ac:dyDescent="0.3">
      <c r="A117" s="14" t="s">
        <v>658</v>
      </c>
      <c r="B117" s="2">
        <v>33</v>
      </c>
      <c r="C117" s="2">
        <v>17</v>
      </c>
      <c r="D117" s="2">
        <v>1</v>
      </c>
      <c r="E117" s="2">
        <v>51</v>
      </c>
    </row>
    <row r="118" spans="1:5" x14ac:dyDescent="0.3">
      <c r="A118" s="14" t="s">
        <v>659</v>
      </c>
      <c r="B118" s="2">
        <v>24</v>
      </c>
      <c r="C118" s="2">
        <v>3</v>
      </c>
      <c r="D118" s="2">
        <v>20</v>
      </c>
      <c r="E118" s="2">
        <v>47</v>
      </c>
    </row>
    <row r="119" spans="1:5" x14ac:dyDescent="0.3">
      <c r="A119" s="14" t="s">
        <v>652</v>
      </c>
      <c r="B119" s="2">
        <v>95</v>
      </c>
      <c r="C119" s="2">
        <v>29</v>
      </c>
      <c r="D119" s="2">
        <v>81</v>
      </c>
      <c r="E119" s="2">
        <v>205</v>
      </c>
    </row>
    <row r="157" spans="1:2" x14ac:dyDescent="0.3">
      <c r="A157" s="14" t="s">
        <v>665</v>
      </c>
    </row>
    <row r="158" spans="1:2" x14ac:dyDescent="0.3">
      <c r="A158" s="13" t="s">
        <v>637</v>
      </c>
      <c r="B158" t="s">
        <v>630</v>
      </c>
    </row>
    <row r="159" spans="1:2" x14ac:dyDescent="0.3">
      <c r="A159" s="14" t="s">
        <v>673</v>
      </c>
      <c r="B159" s="12">
        <v>57000</v>
      </c>
    </row>
    <row r="160" spans="1:2" x14ac:dyDescent="0.3">
      <c r="A160" s="14" t="s">
        <v>668</v>
      </c>
      <c r="B160" s="12">
        <v>41000</v>
      </c>
    </row>
    <row r="161" spans="1:2" x14ac:dyDescent="0.3">
      <c r="A161" s="14" t="s">
        <v>666</v>
      </c>
      <c r="B161" s="12">
        <v>40000</v>
      </c>
    </row>
    <row r="162" spans="1:2" x14ac:dyDescent="0.3">
      <c r="A162" s="14" t="s">
        <v>678</v>
      </c>
      <c r="B162" s="12">
        <v>33000</v>
      </c>
    </row>
    <row r="163" spans="1:2" x14ac:dyDescent="0.3">
      <c r="A163" s="14" t="s">
        <v>675</v>
      </c>
      <c r="B163" s="12">
        <v>32600</v>
      </c>
    </row>
    <row r="164" spans="1:2" x14ac:dyDescent="0.3">
      <c r="A164" s="14" t="s">
        <v>679</v>
      </c>
      <c r="B164" s="12">
        <v>29000</v>
      </c>
    </row>
    <row r="165" spans="1:2" x14ac:dyDescent="0.3">
      <c r="A165" s="14" t="s">
        <v>669</v>
      </c>
      <c r="B165" s="12">
        <v>23800</v>
      </c>
    </row>
    <row r="166" spans="1:2" x14ac:dyDescent="0.3">
      <c r="A166" s="14" t="s">
        <v>671</v>
      </c>
      <c r="B166" s="12">
        <v>20000</v>
      </c>
    </row>
    <row r="167" spans="1:2" x14ac:dyDescent="0.3">
      <c r="A167" s="14" t="s">
        <v>676</v>
      </c>
      <c r="B167" s="12">
        <v>17800</v>
      </c>
    </row>
    <row r="168" spans="1:2" x14ac:dyDescent="0.3">
      <c r="A168" s="14" t="s">
        <v>677</v>
      </c>
      <c r="B168" s="12">
        <v>16000</v>
      </c>
    </row>
    <row r="169" spans="1:2" x14ac:dyDescent="0.3">
      <c r="A169" s="14" t="s">
        <v>672</v>
      </c>
      <c r="B169" s="12">
        <v>14600</v>
      </c>
    </row>
    <row r="170" spans="1:2" x14ac:dyDescent="0.3">
      <c r="A170" s="14" t="s">
        <v>667</v>
      </c>
      <c r="B170" s="12">
        <v>12500</v>
      </c>
    </row>
    <row r="171" spans="1:2" x14ac:dyDescent="0.3">
      <c r="A171" s="14" t="s">
        <v>71</v>
      </c>
      <c r="B171" s="12">
        <v>10000</v>
      </c>
    </row>
    <row r="172" spans="1:2" x14ac:dyDescent="0.3">
      <c r="A172" s="14" t="s">
        <v>674</v>
      </c>
      <c r="B172" s="12">
        <v>6000</v>
      </c>
    </row>
    <row r="173" spans="1:2" x14ac:dyDescent="0.3">
      <c r="A173" s="14" t="s">
        <v>670</v>
      </c>
      <c r="B173" s="12">
        <v>5000</v>
      </c>
    </row>
    <row r="174" spans="1:2" x14ac:dyDescent="0.3">
      <c r="A174" s="14" t="s">
        <v>652</v>
      </c>
      <c r="B174" s="12">
        <v>358300</v>
      </c>
    </row>
    <row r="196" spans="1:2" x14ac:dyDescent="0.3">
      <c r="A196" s="14" t="s">
        <v>680</v>
      </c>
    </row>
    <row r="197" spans="1:2" x14ac:dyDescent="0.3">
      <c r="A197" s="13" t="s">
        <v>637</v>
      </c>
      <c r="B197" t="s">
        <v>701</v>
      </c>
    </row>
    <row r="198" spans="1:2" x14ac:dyDescent="0.3">
      <c r="A198" s="14" t="s">
        <v>690</v>
      </c>
      <c r="B198" s="1">
        <v>29</v>
      </c>
    </row>
    <row r="199" spans="1:2" x14ac:dyDescent="0.3">
      <c r="A199" s="14" t="s">
        <v>700</v>
      </c>
      <c r="B199" s="1">
        <v>27</v>
      </c>
    </row>
    <row r="200" spans="1:2" x14ac:dyDescent="0.3">
      <c r="A200" s="14" t="s">
        <v>683</v>
      </c>
      <c r="B200" s="1">
        <v>27</v>
      </c>
    </row>
    <row r="201" spans="1:2" x14ac:dyDescent="0.3">
      <c r="A201" s="14" t="s">
        <v>687</v>
      </c>
      <c r="B201" s="1">
        <v>26.333333333333332</v>
      </c>
    </row>
    <row r="202" spans="1:2" x14ac:dyDescent="0.3">
      <c r="A202" s="14" t="s">
        <v>685</v>
      </c>
      <c r="B202" s="1">
        <v>26.333333333333332</v>
      </c>
    </row>
    <row r="203" spans="1:2" x14ac:dyDescent="0.3">
      <c r="A203" s="14" t="s">
        <v>691</v>
      </c>
      <c r="B203" s="1">
        <v>26.048387096774192</v>
      </c>
    </row>
    <row r="204" spans="1:2" x14ac:dyDescent="0.3">
      <c r="A204" s="14" t="s">
        <v>695</v>
      </c>
      <c r="B204" s="1">
        <v>26</v>
      </c>
    </row>
    <row r="205" spans="1:2" x14ac:dyDescent="0.3">
      <c r="A205" s="14" t="s">
        <v>684</v>
      </c>
      <c r="B205" s="1">
        <v>26</v>
      </c>
    </row>
    <row r="206" spans="1:2" x14ac:dyDescent="0.3">
      <c r="A206" s="14" t="s">
        <v>698</v>
      </c>
      <c r="B206" s="1">
        <v>26</v>
      </c>
    </row>
    <row r="207" spans="1:2" x14ac:dyDescent="0.3">
      <c r="A207" s="14" t="s">
        <v>688</v>
      </c>
      <c r="B207" s="1">
        <v>26</v>
      </c>
    </row>
    <row r="208" spans="1:2" x14ac:dyDescent="0.3">
      <c r="A208" s="14" t="s">
        <v>694</v>
      </c>
      <c r="B208" s="1">
        <v>26</v>
      </c>
    </row>
    <row r="209" spans="1:2" x14ac:dyDescent="0.3">
      <c r="A209" s="14" t="s">
        <v>689</v>
      </c>
      <c r="B209" s="1">
        <v>26</v>
      </c>
    </row>
    <row r="210" spans="1:2" x14ac:dyDescent="0.3">
      <c r="A210" s="14" t="s">
        <v>697</v>
      </c>
      <c r="B210" s="1">
        <v>26</v>
      </c>
    </row>
    <row r="211" spans="1:2" x14ac:dyDescent="0.3">
      <c r="A211" s="14" t="s">
        <v>682</v>
      </c>
      <c r="B211" s="1">
        <v>26</v>
      </c>
    </row>
    <row r="212" spans="1:2" x14ac:dyDescent="0.3">
      <c r="A212" s="14" t="s">
        <v>699</v>
      </c>
      <c r="B212" s="1">
        <v>26</v>
      </c>
    </row>
    <row r="213" spans="1:2" x14ac:dyDescent="0.3">
      <c r="A213" s="14" t="s">
        <v>692</v>
      </c>
      <c r="B213" s="1">
        <v>26</v>
      </c>
    </row>
    <row r="214" spans="1:2" x14ac:dyDescent="0.3">
      <c r="A214" s="14" t="s">
        <v>693</v>
      </c>
      <c r="B214" s="1">
        <v>26</v>
      </c>
    </row>
    <row r="215" spans="1:2" x14ac:dyDescent="0.3">
      <c r="A215" s="14" t="s">
        <v>681</v>
      </c>
      <c r="B215" s="1">
        <v>25.631578947368421</v>
      </c>
    </row>
    <row r="216" spans="1:2" x14ac:dyDescent="0.3">
      <c r="A216" s="14" t="s">
        <v>686</v>
      </c>
      <c r="B216" s="1">
        <v>25.5</v>
      </c>
    </row>
    <row r="217" spans="1:2" x14ac:dyDescent="0.3">
      <c r="A217" s="14" t="s">
        <v>696</v>
      </c>
      <c r="B217" s="1">
        <v>25.5</v>
      </c>
    </row>
    <row r="218" spans="1:2" x14ac:dyDescent="0.3">
      <c r="A218" s="14" t="s">
        <v>652</v>
      </c>
      <c r="B218" s="1">
        <v>26.188405797101449</v>
      </c>
    </row>
    <row r="238" spans="1:2" x14ac:dyDescent="0.3">
      <c r="A238" s="14" t="s">
        <v>702</v>
      </c>
    </row>
    <row r="239" spans="1:2" x14ac:dyDescent="0.3">
      <c r="A239" s="13" t="s">
        <v>637</v>
      </c>
      <c r="B239" t="s">
        <v>632</v>
      </c>
    </row>
    <row r="240" spans="1:2" x14ac:dyDescent="0.3">
      <c r="A240" s="14" t="s">
        <v>717</v>
      </c>
      <c r="B240" s="12">
        <v>26400</v>
      </c>
    </row>
    <row r="241" spans="1:2" x14ac:dyDescent="0.3">
      <c r="A241" s="14" t="s">
        <v>716</v>
      </c>
      <c r="B241" s="12">
        <v>22800</v>
      </c>
    </row>
    <row r="242" spans="1:2" x14ac:dyDescent="0.3">
      <c r="A242" s="14" t="s">
        <v>712</v>
      </c>
      <c r="B242" s="12">
        <v>16000</v>
      </c>
    </row>
    <row r="243" spans="1:2" x14ac:dyDescent="0.3">
      <c r="A243" s="14" t="s">
        <v>713</v>
      </c>
      <c r="B243" s="12">
        <v>12800</v>
      </c>
    </row>
    <row r="244" spans="1:2" x14ac:dyDescent="0.3">
      <c r="A244" s="14" t="s">
        <v>707</v>
      </c>
      <c r="B244" s="12">
        <v>12700</v>
      </c>
    </row>
    <row r="245" spans="1:2" x14ac:dyDescent="0.3">
      <c r="A245" s="14" t="s">
        <v>714</v>
      </c>
      <c r="B245" s="12">
        <v>11800</v>
      </c>
    </row>
    <row r="246" spans="1:2" x14ac:dyDescent="0.3">
      <c r="A246" s="14" t="s">
        <v>711</v>
      </c>
      <c r="B246" s="12">
        <v>11700</v>
      </c>
    </row>
    <row r="247" spans="1:2" x14ac:dyDescent="0.3">
      <c r="A247" s="14" t="s">
        <v>709</v>
      </c>
      <c r="B247" s="12">
        <v>10500</v>
      </c>
    </row>
    <row r="248" spans="1:2" x14ac:dyDescent="0.3">
      <c r="A248" s="14" t="s">
        <v>715</v>
      </c>
      <c r="B248" s="12">
        <v>9700</v>
      </c>
    </row>
    <row r="249" spans="1:2" x14ac:dyDescent="0.3">
      <c r="A249" s="14" t="s">
        <v>704</v>
      </c>
      <c r="B249" s="12">
        <v>9400</v>
      </c>
    </row>
    <row r="250" spans="1:2" x14ac:dyDescent="0.3">
      <c r="A250" s="14" t="s">
        <v>708</v>
      </c>
      <c r="B250" s="12">
        <v>9400</v>
      </c>
    </row>
    <row r="251" spans="1:2" x14ac:dyDescent="0.3">
      <c r="A251" s="14" t="s">
        <v>710</v>
      </c>
      <c r="B251" s="12">
        <v>8800</v>
      </c>
    </row>
    <row r="252" spans="1:2" x14ac:dyDescent="0.3">
      <c r="A252" s="14" t="s">
        <v>703</v>
      </c>
      <c r="B252" s="12">
        <v>8600</v>
      </c>
    </row>
    <row r="253" spans="1:2" x14ac:dyDescent="0.3">
      <c r="A253" s="14" t="s">
        <v>706</v>
      </c>
      <c r="B253" s="12">
        <v>8500</v>
      </c>
    </row>
    <row r="254" spans="1:2" x14ac:dyDescent="0.3">
      <c r="A254" s="14" t="s">
        <v>720</v>
      </c>
      <c r="B254" s="12">
        <v>8000</v>
      </c>
    </row>
    <row r="255" spans="1:2" x14ac:dyDescent="0.3">
      <c r="A255" s="14" t="s">
        <v>719</v>
      </c>
      <c r="B255" s="12">
        <v>7800</v>
      </c>
    </row>
    <row r="256" spans="1:2" x14ac:dyDescent="0.3">
      <c r="A256" s="14" t="s">
        <v>721</v>
      </c>
      <c r="B256" s="12">
        <v>7300</v>
      </c>
    </row>
    <row r="257" spans="1:2" x14ac:dyDescent="0.3">
      <c r="A257" s="14" t="s">
        <v>120</v>
      </c>
      <c r="B257" s="12">
        <v>7200</v>
      </c>
    </row>
    <row r="258" spans="1:2" x14ac:dyDescent="0.3">
      <c r="A258" s="14" t="s">
        <v>718</v>
      </c>
      <c r="B258" s="12">
        <v>7100</v>
      </c>
    </row>
    <row r="259" spans="1:2" x14ac:dyDescent="0.3">
      <c r="A259" s="14" t="s">
        <v>705</v>
      </c>
      <c r="B259" s="12">
        <v>6700</v>
      </c>
    </row>
    <row r="260" spans="1:2" x14ac:dyDescent="0.3">
      <c r="A260" s="14" t="s">
        <v>652</v>
      </c>
      <c r="B260" s="12">
        <v>223200</v>
      </c>
    </row>
    <row r="290" spans="1:2" x14ac:dyDescent="0.3">
      <c r="A290" s="13" t="s">
        <v>637</v>
      </c>
      <c r="B290" t="s">
        <v>629</v>
      </c>
    </row>
    <row r="291" spans="1:2" x14ac:dyDescent="0.3">
      <c r="A291" s="14" t="s">
        <v>722</v>
      </c>
      <c r="B291" s="2">
        <v>62</v>
      </c>
    </row>
    <row r="292" spans="1:2" x14ac:dyDescent="0.3">
      <c r="A292" s="14" t="s">
        <v>731</v>
      </c>
      <c r="B292" s="2">
        <v>44</v>
      </c>
    </row>
    <row r="293" spans="1:2" x14ac:dyDescent="0.3">
      <c r="A293" s="14" t="s">
        <v>730</v>
      </c>
      <c r="B293" s="2">
        <v>42</v>
      </c>
    </row>
    <row r="294" spans="1:2" x14ac:dyDescent="0.3">
      <c r="A294" s="14" t="s">
        <v>724</v>
      </c>
      <c r="B294" s="2">
        <v>27</v>
      </c>
    </row>
    <row r="295" spans="1:2" x14ac:dyDescent="0.3">
      <c r="A295" s="14" t="s">
        <v>723</v>
      </c>
      <c r="B295" s="2">
        <v>24</v>
      </c>
    </row>
    <row r="296" spans="1:2" x14ac:dyDescent="0.3">
      <c r="A296" s="14" t="s">
        <v>725</v>
      </c>
      <c r="B296" s="2">
        <v>16</v>
      </c>
    </row>
    <row r="297" spans="1:2" x14ac:dyDescent="0.3">
      <c r="A297" s="14" t="s">
        <v>726</v>
      </c>
      <c r="B297" s="2">
        <v>11</v>
      </c>
    </row>
    <row r="298" spans="1:2" x14ac:dyDescent="0.3">
      <c r="A298" s="14" t="s">
        <v>728</v>
      </c>
      <c r="B298" s="2">
        <v>8</v>
      </c>
    </row>
    <row r="299" spans="1:2" x14ac:dyDescent="0.3">
      <c r="A299" s="14" t="s">
        <v>729</v>
      </c>
      <c r="B299" s="2">
        <v>7</v>
      </c>
    </row>
    <row r="300" spans="1:2" x14ac:dyDescent="0.3">
      <c r="A300" s="14" t="s">
        <v>727</v>
      </c>
      <c r="B300" s="2">
        <v>5</v>
      </c>
    </row>
    <row r="301" spans="1:2" x14ac:dyDescent="0.3">
      <c r="A301" s="14" t="s">
        <v>652</v>
      </c>
      <c r="B301" s="2">
        <v>246</v>
      </c>
    </row>
    <row r="330" spans="1:2" x14ac:dyDescent="0.3">
      <c r="A330" s="14" t="s">
        <v>732</v>
      </c>
    </row>
    <row r="331" spans="1:2" x14ac:dyDescent="0.3">
      <c r="A331" s="13" t="s">
        <v>637</v>
      </c>
      <c r="B331" t="s">
        <v>733</v>
      </c>
    </row>
    <row r="332" spans="1:2" x14ac:dyDescent="0.3">
      <c r="A332" s="14" t="s">
        <v>661</v>
      </c>
      <c r="B332" s="12">
        <v>1460.483870967742</v>
      </c>
    </row>
    <row r="333" spans="1:2" x14ac:dyDescent="0.3">
      <c r="A333" s="14" t="s">
        <v>662</v>
      </c>
      <c r="B333" s="12">
        <v>910</v>
      </c>
    </row>
    <row r="334" spans="1:2" x14ac:dyDescent="0.3">
      <c r="A334" s="14" t="s">
        <v>664</v>
      </c>
      <c r="B334" s="12">
        <v>618.18181818181813</v>
      </c>
    </row>
    <row r="335" spans="1:2" x14ac:dyDescent="0.3">
      <c r="A335" s="14" t="s">
        <v>663</v>
      </c>
      <c r="B335" s="12">
        <v>475</v>
      </c>
    </row>
    <row r="336" spans="1:2" x14ac:dyDescent="0.3">
      <c r="A336" s="14" t="s">
        <v>652</v>
      </c>
      <c r="B336" s="12">
        <v>1060.3846153846155</v>
      </c>
    </row>
  </sheetData>
  <pageMargins left="0.7" right="0.7" top="0.75" bottom="0.75" header="0.3" footer="0.3"/>
  <drawing r:id="rId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64" zoomScaleNormal="64" workbookViewId="0">
      <selection activeCell="AE45" sqref="AE45"/>
    </sheetView>
  </sheetViews>
  <sheetFormatPr defaultRowHeight="14.4" x14ac:dyDescent="0.3"/>
  <cols>
    <col min="1" max="16384" width="8.88671875" style="15"/>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22B6C6-4712-4F0B-804D-CD92272CAA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Procurement Data</vt:lpstr>
      <vt:lpstr>Data Analysis Stage</vt:lpstr>
      <vt:lpstr>Pivot Table</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cp:lastModifiedBy>
  <dcterms:created xsi:type="dcterms:W3CDTF">2024-04-24T02:58:14Z</dcterms:created>
  <dcterms:modified xsi:type="dcterms:W3CDTF">2026-07-28T13:50:39Z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2024-12-17T09:26:55Z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677c7674-3f45-4eef-a8ae-7ac2705c850b</vt:lpwstr>
  </property>
  <property fmtid="{D5CDD505-2E9C-101B-9397-08002B2CF9AE}" pid="7" name="MSIP_Label_defa4170-0d19-0005-0004-bc88714345d2_ActionId">
    <vt:lpwstr>8b945fb3-03c0-475f-9890-48f9381d6a2c</vt:lpwstr>
  </property>
  <property fmtid="{D5CDD505-2E9C-101B-9397-08002B2CF9AE}" pid="8" name="MSIP_Label_defa4170-0d19-0005-0004-bc88714345d2_ContentBits">
    <vt:lpwstr>0</vt:lpwstr>
  </property>
</Properties>
</file>